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K:\NICOLAS LANGEVIN\Commerce\"/>
    </mc:Choice>
  </mc:AlternateContent>
  <xr:revisionPtr revIDLastSave="0" documentId="13_ncr:1_{E7BE48CD-A632-47A5-8C4D-328274D59C39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Besoins INRAE" sheetId="2" r:id="rId1"/>
    <sheet name="Bibliothèque MP INRA" sheetId="3" r:id="rId2"/>
    <sheet name="Ration Formulation" sheetId="4" r:id="rId3"/>
    <sheet name="Diagnostic" sheetId="12" r:id="rId4"/>
    <sheet name="Ration Formulation 2" sheetId="8" r:id="rId5"/>
    <sheet name="Comparaison Rations" sheetId="9" r:id="rId6"/>
    <sheet name="Formulation Aliment" sheetId="10" r:id="rId7"/>
  </sheets>
  <externalReferences>
    <externalReference r:id="rId8"/>
  </externalReferences>
  <definedNames>
    <definedName name="ListeMP">'Bibliothèque MP INRA'!$A$2:INDEX('Bibliothèque MP INRA'!$A:$A,COUNTA('Bibliothèque MP INRA'!$A:$A))</definedName>
  </definedNames>
  <calcPr calcId="191029"/>
</workbook>
</file>

<file path=xl/calcChain.xml><?xml version="1.0" encoding="utf-8"?>
<calcChain xmlns="http://schemas.openxmlformats.org/spreadsheetml/2006/main">
  <c r="B31" i="12" l="1"/>
  <c r="B30" i="12"/>
  <c r="B23" i="12"/>
  <c r="B24" i="12"/>
  <c r="B19" i="12"/>
  <c r="E5" i="12"/>
  <c r="E6" i="12"/>
  <c r="E7" i="12"/>
  <c r="E8" i="12"/>
  <c r="E9" i="12"/>
  <c r="E10" i="12"/>
  <c r="E4" i="12"/>
  <c r="D5" i="12"/>
  <c r="D6" i="12"/>
  <c r="D7" i="12"/>
  <c r="D8" i="12"/>
  <c r="D9" i="12"/>
  <c r="D10" i="12"/>
  <c r="D4" i="12"/>
  <c r="B36" i="2"/>
  <c r="C4" i="12"/>
  <c r="B8" i="2"/>
  <c r="B7" i="2"/>
  <c r="G17" i="2"/>
  <c r="B10" i="2"/>
  <c r="B11" i="2"/>
  <c r="B4" i="2"/>
  <c r="B6" i="2" s="1"/>
  <c r="B30" i="2" s="1"/>
  <c r="C19" i="2"/>
  <c r="C8" i="9"/>
  <c r="C7" i="9"/>
  <c r="C6" i="9"/>
  <c r="C5" i="9"/>
  <c r="C4" i="9"/>
  <c r="C3" i="9"/>
  <c r="B26" i="12"/>
  <c r="B29" i="2" l="1"/>
  <c r="B44" i="2" s="1"/>
  <c r="B27" i="2"/>
  <c r="B33" i="2"/>
  <c r="B32" i="2"/>
  <c r="N12" i="4"/>
  <c r="N11" i="4"/>
  <c r="N10" i="4"/>
  <c r="N9" i="4"/>
  <c r="N5" i="4"/>
  <c r="B35" i="4"/>
  <c r="B13" i="12"/>
  <c r="B29" i="12" s="1"/>
  <c r="B38" i="2"/>
  <c r="B37" i="2"/>
  <c r="AI33" i="10"/>
  <c r="AJ33" i="10" s="1"/>
  <c r="AG33" i="10"/>
  <c r="AE33" i="10"/>
  <c r="AC33" i="10"/>
  <c r="AA33" i="10"/>
  <c r="Y33" i="10"/>
  <c r="W33" i="10"/>
  <c r="U33" i="10"/>
  <c r="S33" i="10"/>
  <c r="Q33" i="10"/>
  <c r="O33" i="10"/>
  <c r="M33" i="10"/>
  <c r="K33" i="10"/>
  <c r="I33" i="10"/>
  <c r="G33" i="10"/>
  <c r="E33" i="10"/>
  <c r="C33" i="10"/>
  <c r="D33" i="10" s="1"/>
  <c r="AI32" i="10"/>
  <c r="AJ32" i="10" s="1"/>
  <c r="AG32" i="10"/>
  <c r="AE32" i="10"/>
  <c r="AC32" i="10"/>
  <c r="AA32" i="10"/>
  <c r="Y32" i="10"/>
  <c r="W32" i="10"/>
  <c r="U32" i="10"/>
  <c r="S32" i="10"/>
  <c r="Q32" i="10"/>
  <c r="O32" i="10"/>
  <c r="M32" i="10"/>
  <c r="K32" i="10"/>
  <c r="I32" i="10"/>
  <c r="G32" i="10"/>
  <c r="E32" i="10"/>
  <c r="C32" i="10"/>
  <c r="D32" i="10" s="1"/>
  <c r="AI31" i="10"/>
  <c r="AJ31" i="10" s="1"/>
  <c r="AG31" i="10"/>
  <c r="AE31" i="10"/>
  <c r="AC31" i="10"/>
  <c r="AA31" i="10"/>
  <c r="Y31" i="10"/>
  <c r="W31" i="10"/>
  <c r="U31" i="10"/>
  <c r="S31" i="10"/>
  <c r="Q31" i="10"/>
  <c r="O31" i="10"/>
  <c r="M31" i="10"/>
  <c r="K31" i="10"/>
  <c r="I31" i="10"/>
  <c r="G31" i="10"/>
  <c r="E31" i="10"/>
  <c r="C31" i="10"/>
  <c r="D31" i="10" s="1"/>
  <c r="AI30" i="10"/>
  <c r="AJ30" i="10" s="1"/>
  <c r="AG30" i="10"/>
  <c r="AE30" i="10"/>
  <c r="AC30" i="10"/>
  <c r="AA30" i="10"/>
  <c r="Y30" i="10"/>
  <c r="W30" i="10"/>
  <c r="U30" i="10"/>
  <c r="S30" i="10"/>
  <c r="Q30" i="10"/>
  <c r="O30" i="10"/>
  <c r="M30" i="10"/>
  <c r="K30" i="10"/>
  <c r="I30" i="10"/>
  <c r="G30" i="10"/>
  <c r="E30" i="10"/>
  <c r="C30" i="10"/>
  <c r="D30" i="10" s="1"/>
  <c r="AI29" i="10"/>
  <c r="AJ29" i="10" s="1"/>
  <c r="AG29" i="10"/>
  <c r="AE29" i="10"/>
  <c r="AC29" i="10"/>
  <c r="AA29" i="10"/>
  <c r="Y29" i="10"/>
  <c r="W29" i="10"/>
  <c r="U29" i="10"/>
  <c r="S29" i="10"/>
  <c r="Q29" i="10"/>
  <c r="O29" i="10"/>
  <c r="M29" i="10"/>
  <c r="K29" i="10"/>
  <c r="I29" i="10"/>
  <c r="G29" i="10"/>
  <c r="E29" i="10"/>
  <c r="C29" i="10"/>
  <c r="D29" i="10" s="1"/>
  <c r="AI28" i="10"/>
  <c r="AJ28" i="10" s="1"/>
  <c r="AG28" i="10"/>
  <c r="AE28" i="10"/>
  <c r="AC28" i="10"/>
  <c r="AA28" i="10"/>
  <c r="Y28" i="10"/>
  <c r="W28" i="10"/>
  <c r="U28" i="10"/>
  <c r="S28" i="10"/>
  <c r="Q28" i="10"/>
  <c r="O28" i="10"/>
  <c r="M28" i="10"/>
  <c r="K28" i="10"/>
  <c r="I28" i="10"/>
  <c r="G28" i="10"/>
  <c r="E28" i="10"/>
  <c r="C28" i="10"/>
  <c r="D28" i="10" s="1"/>
  <c r="AI27" i="10"/>
  <c r="AJ27" i="10" s="1"/>
  <c r="AG27" i="10"/>
  <c r="AE27" i="10"/>
  <c r="AC27" i="10"/>
  <c r="AA27" i="10"/>
  <c r="Y27" i="10"/>
  <c r="W27" i="10"/>
  <c r="U27" i="10"/>
  <c r="S27" i="10"/>
  <c r="Q27" i="10"/>
  <c r="O27" i="10"/>
  <c r="M27" i="10"/>
  <c r="K27" i="10"/>
  <c r="I27" i="10"/>
  <c r="G27" i="10"/>
  <c r="E27" i="10"/>
  <c r="C27" i="10"/>
  <c r="D27" i="10" s="1"/>
  <c r="AI26" i="10"/>
  <c r="AJ26" i="10" s="1"/>
  <c r="AG26" i="10"/>
  <c r="AE26" i="10"/>
  <c r="AC26" i="10"/>
  <c r="AA26" i="10"/>
  <c r="Y26" i="10"/>
  <c r="W26" i="10"/>
  <c r="U26" i="10"/>
  <c r="S26" i="10"/>
  <c r="Q26" i="10"/>
  <c r="O26" i="10"/>
  <c r="M26" i="10"/>
  <c r="K26" i="10"/>
  <c r="I26" i="10"/>
  <c r="G26" i="10"/>
  <c r="E26" i="10"/>
  <c r="C26" i="10"/>
  <c r="D26" i="10" s="1"/>
  <c r="AI25" i="10"/>
  <c r="AJ25" i="10" s="1"/>
  <c r="AG25" i="10"/>
  <c r="AE25" i="10"/>
  <c r="AC25" i="10"/>
  <c r="AA25" i="10"/>
  <c r="Y25" i="10"/>
  <c r="W25" i="10"/>
  <c r="U25" i="10"/>
  <c r="S25" i="10"/>
  <c r="Q25" i="10"/>
  <c r="O25" i="10"/>
  <c r="M25" i="10"/>
  <c r="K25" i="10"/>
  <c r="I25" i="10"/>
  <c r="G25" i="10"/>
  <c r="E25" i="10"/>
  <c r="C25" i="10"/>
  <c r="D25" i="10" s="1"/>
  <c r="AI24" i="10"/>
  <c r="AJ24" i="10" s="1"/>
  <c r="AG24" i="10"/>
  <c r="AE24" i="10"/>
  <c r="AC24" i="10"/>
  <c r="AA24" i="10"/>
  <c r="Y24" i="10"/>
  <c r="W24" i="10"/>
  <c r="U24" i="10"/>
  <c r="S24" i="10"/>
  <c r="Q24" i="10"/>
  <c r="O24" i="10"/>
  <c r="M24" i="10"/>
  <c r="K24" i="10"/>
  <c r="I24" i="10"/>
  <c r="G24" i="10"/>
  <c r="E24" i="10"/>
  <c r="C24" i="10"/>
  <c r="D24" i="10" s="1"/>
  <c r="AI23" i="10"/>
  <c r="AJ23" i="10" s="1"/>
  <c r="AG23" i="10"/>
  <c r="AE23" i="10"/>
  <c r="AC23" i="10"/>
  <c r="AA23" i="10"/>
  <c r="Y23" i="10"/>
  <c r="W23" i="10"/>
  <c r="U23" i="10"/>
  <c r="S23" i="10"/>
  <c r="Q23" i="10"/>
  <c r="O23" i="10"/>
  <c r="M23" i="10"/>
  <c r="K23" i="10"/>
  <c r="I23" i="10"/>
  <c r="G23" i="10"/>
  <c r="E23" i="10"/>
  <c r="C23" i="10"/>
  <c r="D23" i="10" s="1"/>
  <c r="AI22" i="10"/>
  <c r="AJ22" i="10" s="1"/>
  <c r="AG22" i="10"/>
  <c r="AE22" i="10"/>
  <c r="AC22" i="10"/>
  <c r="AA22" i="10"/>
  <c r="Y22" i="10"/>
  <c r="W22" i="10"/>
  <c r="U22" i="10"/>
  <c r="S22" i="10"/>
  <c r="Q22" i="10"/>
  <c r="O22" i="10"/>
  <c r="M22" i="10"/>
  <c r="K22" i="10"/>
  <c r="I22" i="10"/>
  <c r="G22" i="10"/>
  <c r="E22" i="10"/>
  <c r="C22" i="10"/>
  <c r="D22" i="10" s="1"/>
  <c r="AI21" i="10"/>
  <c r="AJ21" i="10" s="1"/>
  <c r="AG21" i="10"/>
  <c r="AE21" i="10"/>
  <c r="AC21" i="10"/>
  <c r="AA21" i="10"/>
  <c r="Y21" i="10"/>
  <c r="W21" i="10"/>
  <c r="U21" i="10"/>
  <c r="S21" i="10"/>
  <c r="Q21" i="10"/>
  <c r="O21" i="10"/>
  <c r="M21" i="10"/>
  <c r="K21" i="10"/>
  <c r="I21" i="10"/>
  <c r="G21" i="10"/>
  <c r="E21" i="10"/>
  <c r="C21" i="10"/>
  <c r="D21" i="10" s="1"/>
  <c r="AI20" i="10"/>
  <c r="AJ20" i="10" s="1"/>
  <c r="AG20" i="10"/>
  <c r="AE20" i="10"/>
  <c r="AC20" i="10"/>
  <c r="AA20" i="10"/>
  <c r="Y20" i="10"/>
  <c r="W20" i="10"/>
  <c r="U20" i="10"/>
  <c r="S20" i="10"/>
  <c r="Q20" i="10"/>
  <c r="O20" i="10"/>
  <c r="M20" i="10"/>
  <c r="K20" i="10"/>
  <c r="I20" i="10"/>
  <c r="G20" i="10"/>
  <c r="E20" i="10"/>
  <c r="C20" i="10"/>
  <c r="D20" i="10" s="1"/>
  <c r="AI19" i="10"/>
  <c r="AJ19" i="10" s="1"/>
  <c r="AG19" i="10"/>
  <c r="AE19" i="10"/>
  <c r="AC19" i="10"/>
  <c r="AA19" i="10"/>
  <c r="Y19" i="10"/>
  <c r="W19" i="10"/>
  <c r="U19" i="10"/>
  <c r="S19" i="10"/>
  <c r="Q19" i="10"/>
  <c r="O19" i="10"/>
  <c r="M19" i="10"/>
  <c r="K19" i="10"/>
  <c r="I19" i="10"/>
  <c r="G19" i="10"/>
  <c r="E19" i="10"/>
  <c r="C19" i="10"/>
  <c r="D19" i="10" s="1"/>
  <c r="AI18" i="10"/>
  <c r="AJ18" i="10" s="1"/>
  <c r="AG18" i="10"/>
  <c r="AE18" i="10"/>
  <c r="AC18" i="10"/>
  <c r="AA18" i="10"/>
  <c r="Y18" i="10"/>
  <c r="W18" i="10"/>
  <c r="U18" i="10"/>
  <c r="S18" i="10"/>
  <c r="Q18" i="10"/>
  <c r="O18" i="10"/>
  <c r="M18" i="10"/>
  <c r="K18" i="10"/>
  <c r="I18" i="10"/>
  <c r="G18" i="10"/>
  <c r="E18" i="10"/>
  <c r="C18" i="10"/>
  <c r="D18" i="10" s="1"/>
  <c r="AI17" i="10"/>
  <c r="AJ17" i="10" s="1"/>
  <c r="AG17" i="10"/>
  <c r="AE17" i="10"/>
  <c r="AC17" i="10"/>
  <c r="AA17" i="10"/>
  <c r="Y17" i="10"/>
  <c r="W17" i="10"/>
  <c r="U17" i="10"/>
  <c r="S17" i="10"/>
  <c r="Q17" i="10"/>
  <c r="O17" i="10"/>
  <c r="M17" i="10"/>
  <c r="K17" i="10"/>
  <c r="I17" i="10"/>
  <c r="G17" i="10"/>
  <c r="E17" i="10"/>
  <c r="C17" i="10"/>
  <c r="D17" i="10" s="1"/>
  <c r="AI16" i="10"/>
  <c r="AJ16" i="10" s="1"/>
  <c r="AG16" i="10"/>
  <c r="AE16" i="10"/>
  <c r="AC16" i="10"/>
  <c r="AA16" i="10"/>
  <c r="Y16" i="10"/>
  <c r="W16" i="10"/>
  <c r="U16" i="10"/>
  <c r="S16" i="10"/>
  <c r="Q16" i="10"/>
  <c r="O16" i="10"/>
  <c r="M16" i="10"/>
  <c r="K16" i="10"/>
  <c r="I16" i="10"/>
  <c r="G16" i="10"/>
  <c r="E16" i="10"/>
  <c r="C16" i="10"/>
  <c r="D16" i="10" s="1"/>
  <c r="AI15" i="10"/>
  <c r="AJ15" i="10" s="1"/>
  <c r="AG15" i="10"/>
  <c r="AE15" i="10"/>
  <c r="AC15" i="10"/>
  <c r="AA15" i="10"/>
  <c r="Y15" i="10"/>
  <c r="W15" i="10"/>
  <c r="U15" i="10"/>
  <c r="S15" i="10"/>
  <c r="Q15" i="10"/>
  <c r="O15" i="10"/>
  <c r="M15" i="10"/>
  <c r="K15" i="10"/>
  <c r="I15" i="10"/>
  <c r="G15" i="10"/>
  <c r="E15" i="10"/>
  <c r="C15" i="10"/>
  <c r="D15" i="10" s="1"/>
  <c r="AI14" i="10"/>
  <c r="AJ14" i="10" s="1"/>
  <c r="AG14" i="10"/>
  <c r="AE14" i="10"/>
  <c r="AC14" i="10"/>
  <c r="AA14" i="10"/>
  <c r="Y14" i="10"/>
  <c r="W14" i="10"/>
  <c r="U14" i="10"/>
  <c r="S14" i="10"/>
  <c r="Q14" i="10"/>
  <c r="O14" i="10"/>
  <c r="M14" i="10"/>
  <c r="K14" i="10"/>
  <c r="I14" i="10"/>
  <c r="G14" i="10"/>
  <c r="E14" i="10"/>
  <c r="C14" i="10"/>
  <c r="D14" i="10" s="1"/>
  <c r="AI13" i="10"/>
  <c r="AJ13" i="10" s="1"/>
  <c r="AG13" i="10"/>
  <c r="AE13" i="10"/>
  <c r="AC13" i="10"/>
  <c r="AA13" i="10"/>
  <c r="Y13" i="10"/>
  <c r="W13" i="10"/>
  <c r="U13" i="10"/>
  <c r="S13" i="10"/>
  <c r="Q13" i="10"/>
  <c r="O13" i="10"/>
  <c r="M13" i="10"/>
  <c r="K13" i="10"/>
  <c r="I13" i="10"/>
  <c r="G13" i="10"/>
  <c r="E13" i="10"/>
  <c r="C13" i="10"/>
  <c r="D13" i="10" s="1"/>
  <c r="AI12" i="10"/>
  <c r="AJ12" i="10" s="1"/>
  <c r="AG12" i="10"/>
  <c r="AE12" i="10"/>
  <c r="AC12" i="10"/>
  <c r="AA12" i="10"/>
  <c r="Y12" i="10"/>
  <c r="W12" i="10"/>
  <c r="U12" i="10"/>
  <c r="S12" i="10"/>
  <c r="Q12" i="10"/>
  <c r="O12" i="10"/>
  <c r="M12" i="10"/>
  <c r="K12" i="10"/>
  <c r="I12" i="10"/>
  <c r="G12" i="10"/>
  <c r="E12" i="10"/>
  <c r="C12" i="10"/>
  <c r="D12" i="10" s="1"/>
  <c r="AI11" i="10"/>
  <c r="AJ11" i="10" s="1"/>
  <c r="AG11" i="10"/>
  <c r="AE11" i="10"/>
  <c r="AC11" i="10"/>
  <c r="AA11" i="10"/>
  <c r="Y11" i="10"/>
  <c r="W11" i="10"/>
  <c r="U11" i="10"/>
  <c r="S11" i="10"/>
  <c r="Q11" i="10"/>
  <c r="O11" i="10"/>
  <c r="M11" i="10"/>
  <c r="K11" i="10"/>
  <c r="I11" i="10"/>
  <c r="G11" i="10"/>
  <c r="E11" i="10"/>
  <c r="C11" i="10"/>
  <c r="D11" i="10" s="1"/>
  <c r="AI10" i="10"/>
  <c r="AJ10" i="10" s="1"/>
  <c r="AG10" i="10"/>
  <c r="AE10" i="10"/>
  <c r="AC10" i="10"/>
  <c r="AA10" i="10"/>
  <c r="Y10" i="10"/>
  <c r="W10" i="10"/>
  <c r="U10" i="10"/>
  <c r="S10" i="10"/>
  <c r="Q10" i="10"/>
  <c r="O10" i="10"/>
  <c r="M10" i="10"/>
  <c r="K10" i="10"/>
  <c r="I10" i="10"/>
  <c r="G10" i="10"/>
  <c r="E10" i="10"/>
  <c r="C10" i="10"/>
  <c r="D10" i="10" s="1"/>
  <c r="T10" i="10" s="1"/>
  <c r="AI9" i="10"/>
  <c r="AJ9" i="10" s="1"/>
  <c r="AG9" i="10"/>
  <c r="AE9" i="10"/>
  <c r="AC9" i="10"/>
  <c r="AA9" i="10"/>
  <c r="Y9" i="10"/>
  <c r="W9" i="10"/>
  <c r="U9" i="10"/>
  <c r="S9" i="10"/>
  <c r="Q9" i="10"/>
  <c r="O9" i="10"/>
  <c r="M9" i="10"/>
  <c r="K9" i="10"/>
  <c r="I9" i="10"/>
  <c r="G9" i="10"/>
  <c r="E9" i="10"/>
  <c r="C9" i="10"/>
  <c r="D9" i="10" s="1"/>
  <c r="AI8" i="10"/>
  <c r="AJ8" i="10" s="1"/>
  <c r="AG8" i="10"/>
  <c r="AE8" i="10"/>
  <c r="AC8" i="10"/>
  <c r="AA8" i="10"/>
  <c r="Y8" i="10"/>
  <c r="W8" i="10"/>
  <c r="U8" i="10"/>
  <c r="S8" i="10"/>
  <c r="Q8" i="10"/>
  <c r="O8" i="10"/>
  <c r="M8" i="10"/>
  <c r="K8" i="10"/>
  <c r="I8" i="10"/>
  <c r="G8" i="10"/>
  <c r="E8" i="10"/>
  <c r="C8" i="10"/>
  <c r="D8" i="10" s="1"/>
  <c r="AI7" i="10"/>
  <c r="AJ7" i="10" s="1"/>
  <c r="AG7" i="10"/>
  <c r="AE7" i="10"/>
  <c r="AC7" i="10"/>
  <c r="AA7" i="10"/>
  <c r="Y7" i="10"/>
  <c r="W7" i="10"/>
  <c r="U7" i="10"/>
  <c r="S7" i="10"/>
  <c r="Q7" i="10"/>
  <c r="O7" i="10"/>
  <c r="M7" i="10"/>
  <c r="K7" i="10"/>
  <c r="I7" i="10"/>
  <c r="G7" i="10"/>
  <c r="E7" i="10"/>
  <c r="C7" i="10"/>
  <c r="D7" i="10" s="1"/>
  <c r="AI6" i="10"/>
  <c r="AJ6" i="10" s="1"/>
  <c r="AG6" i="10"/>
  <c r="AE6" i="10"/>
  <c r="AC6" i="10"/>
  <c r="AA6" i="10"/>
  <c r="Y6" i="10"/>
  <c r="W6" i="10"/>
  <c r="U6" i="10"/>
  <c r="S6" i="10"/>
  <c r="Q6" i="10"/>
  <c r="O6" i="10"/>
  <c r="M6" i="10"/>
  <c r="K6" i="10"/>
  <c r="I6" i="10"/>
  <c r="G6" i="10"/>
  <c r="E6" i="10"/>
  <c r="C6" i="10"/>
  <c r="D6" i="10" s="1"/>
  <c r="AI5" i="10"/>
  <c r="AJ5" i="10" s="1"/>
  <c r="AG5" i="10"/>
  <c r="AE5" i="10"/>
  <c r="AC5" i="10"/>
  <c r="AA5" i="10"/>
  <c r="Y5" i="10"/>
  <c r="W5" i="10"/>
  <c r="U5" i="10"/>
  <c r="S5" i="10"/>
  <c r="Q5" i="10"/>
  <c r="O5" i="10"/>
  <c r="M5" i="10"/>
  <c r="K5" i="10"/>
  <c r="I5" i="10"/>
  <c r="G5" i="10"/>
  <c r="E5" i="10"/>
  <c r="C5" i="10"/>
  <c r="D5" i="10" s="1"/>
  <c r="AI4" i="10"/>
  <c r="AJ4" i="10" s="1"/>
  <c r="AG4" i="10"/>
  <c r="AE4" i="10"/>
  <c r="AC4" i="10"/>
  <c r="AA4" i="10"/>
  <c r="Y4" i="10"/>
  <c r="W4" i="10"/>
  <c r="U4" i="10"/>
  <c r="S4" i="10"/>
  <c r="Q4" i="10"/>
  <c r="O4" i="10"/>
  <c r="M4" i="10"/>
  <c r="K4" i="10"/>
  <c r="I4" i="10"/>
  <c r="G4" i="10"/>
  <c r="E4" i="10"/>
  <c r="C4" i="10"/>
  <c r="C11" i="9"/>
  <c r="B11" i="9"/>
  <c r="C10" i="9"/>
  <c r="B10" i="9"/>
  <c r="B12" i="9" s="1"/>
  <c r="C9" i="9"/>
  <c r="D9" i="9" s="1"/>
  <c r="B9" i="9"/>
  <c r="AI33" i="8"/>
  <c r="AJ33" i="8" s="1"/>
  <c r="AG33" i="8"/>
  <c r="AE33" i="8"/>
  <c r="AC33" i="8"/>
  <c r="AA33" i="8"/>
  <c r="Y33" i="8"/>
  <c r="W33" i="8"/>
  <c r="U33" i="8"/>
  <c r="S33" i="8"/>
  <c r="Q33" i="8"/>
  <c r="O33" i="8"/>
  <c r="M33" i="8"/>
  <c r="K33" i="8"/>
  <c r="I33" i="8"/>
  <c r="G33" i="8"/>
  <c r="E33" i="8"/>
  <c r="C33" i="8"/>
  <c r="D33" i="8" s="1"/>
  <c r="AJ32" i="8"/>
  <c r="AI32" i="8"/>
  <c r="AG32" i="8"/>
  <c r="AE32" i="8"/>
  <c r="AC32" i="8"/>
  <c r="AA32" i="8"/>
  <c r="Y32" i="8"/>
  <c r="W32" i="8"/>
  <c r="U32" i="8"/>
  <c r="S32" i="8"/>
  <c r="Q32" i="8"/>
  <c r="O32" i="8"/>
  <c r="M32" i="8"/>
  <c r="K32" i="8"/>
  <c r="I32" i="8"/>
  <c r="G32" i="8"/>
  <c r="E32" i="8"/>
  <c r="C32" i="8"/>
  <c r="D32" i="8" s="1"/>
  <c r="AI31" i="8"/>
  <c r="AJ31" i="8" s="1"/>
  <c r="AG31" i="8"/>
  <c r="AE31" i="8"/>
  <c r="AC31" i="8"/>
  <c r="AA31" i="8"/>
  <c r="Y31" i="8"/>
  <c r="W31" i="8"/>
  <c r="U31" i="8"/>
  <c r="S31" i="8"/>
  <c r="Q31" i="8"/>
  <c r="O31" i="8"/>
  <c r="M31" i="8"/>
  <c r="K31" i="8"/>
  <c r="I31" i="8"/>
  <c r="G31" i="8"/>
  <c r="E31" i="8"/>
  <c r="C31" i="8"/>
  <c r="D31" i="8" s="1"/>
  <c r="N31" i="8" s="1"/>
  <c r="AI30" i="8"/>
  <c r="AJ30" i="8" s="1"/>
  <c r="AG30" i="8"/>
  <c r="AE30" i="8"/>
  <c r="AC30" i="8"/>
  <c r="AA30" i="8"/>
  <c r="Y30" i="8"/>
  <c r="W30" i="8"/>
  <c r="U30" i="8"/>
  <c r="S30" i="8"/>
  <c r="Q30" i="8"/>
  <c r="O30" i="8"/>
  <c r="M30" i="8"/>
  <c r="K30" i="8"/>
  <c r="I30" i="8"/>
  <c r="G30" i="8"/>
  <c r="E30" i="8"/>
  <c r="C30" i="8"/>
  <c r="D30" i="8" s="1"/>
  <c r="AI29" i="8"/>
  <c r="AJ29" i="8" s="1"/>
  <c r="AG29" i="8"/>
  <c r="AE29" i="8"/>
  <c r="AC29" i="8"/>
  <c r="AA29" i="8"/>
  <c r="Y29" i="8"/>
  <c r="W29" i="8"/>
  <c r="U29" i="8"/>
  <c r="S29" i="8"/>
  <c r="Q29" i="8"/>
  <c r="O29" i="8"/>
  <c r="M29" i="8"/>
  <c r="K29" i="8"/>
  <c r="I29" i="8"/>
  <c r="G29" i="8"/>
  <c r="E29" i="8"/>
  <c r="C29" i="8"/>
  <c r="D29" i="8" s="1"/>
  <c r="AI28" i="8"/>
  <c r="AJ28" i="8" s="1"/>
  <c r="AG28" i="8"/>
  <c r="AE28" i="8"/>
  <c r="AC28" i="8"/>
  <c r="AA28" i="8"/>
  <c r="Y28" i="8"/>
  <c r="W28" i="8"/>
  <c r="U28" i="8"/>
  <c r="S28" i="8"/>
  <c r="Q28" i="8"/>
  <c r="O28" i="8"/>
  <c r="M28" i="8"/>
  <c r="K28" i="8"/>
  <c r="I28" i="8"/>
  <c r="G28" i="8"/>
  <c r="E28" i="8"/>
  <c r="C28" i="8"/>
  <c r="D28" i="8" s="1"/>
  <c r="AI27" i="8"/>
  <c r="AJ27" i="8" s="1"/>
  <c r="AG27" i="8"/>
  <c r="AE27" i="8"/>
  <c r="AC27" i="8"/>
  <c r="AA27" i="8"/>
  <c r="Y27" i="8"/>
  <c r="W27" i="8"/>
  <c r="U27" i="8"/>
  <c r="S27" i="8"/>
  <c r="Q27" i="8"/>
  <c r="O27" i="8"/>
  <c r="M27" i="8"/>
  <c r="K27" i="8"/>
  <c r="I27" i="8"/>
  <c r="G27" i="8"/>
  <c r="E27" i="8"/>
  <c r="C27" i="8"/>
  <c r="D27" i="8" s="1"/>
  <c r="AI26" i="8"/>
  <c r="AJ26" i="8" s="1"/>
  <c r="AG26" i="8"/>
  <c r="AE26" i="8"/>
  <c r="AC26" i="8"/>
  <c r="AA26" i="8"/>
  <c r="Y26" i="8"/>
  <c r="W26" i="8"/>
  <c r="U26" i="8"/>
  <c r="S26" i="8"/>
  <c r="Q26" i="8"/>
  <c r="O26" i="8"/>
  <c r="M26" i="8"/>
  <c r="K26" i="8"/>
  <c r="I26" i="8"/>
  <c r="G26" i="8"/>
  <c r="E26" i="8"/>
  <c r="C26" i="8"/>
  <c r="D26" i="8" s="1"/>
  <c r="AI25" i="8"/>
  <c r="AJ25" i="8" s="1"/>
  <c r="AG25" i="8"/>
  <c r="AE25" i="8"/>
  <c r="AC25" i="8"/>
  <c r="AA25" i="8"/>
  <c r="Y25" i="8"/>
  <c r="W25" i="8"/>
  <c r="U25" i="8"/>
  <c r="S25" i="8"/>
  <c r="Q25" i="8"/>
  <c r="O25" i="8"/>
  <c r="M25" i="8"/>
  <c r="K25" i="8"/>
  <c r="I25" i="8"/>
  <c r="G25" i="8"/>
  <c r="E25" i="8"/>
  <c r="C25" i="8"/>
  <c r="D25" i="8" s="1"/>
  <c r="AI24" i="8"/>
  <c r="AJ24" i="8" s="1"/>
  <c r="AG24" i="8"/>
  <c r="AE24" i="8"/>
  <c r="AC24" i="8"/>
  <c r="AA24" i="8"/>
  <c r="Y24" i="8"/>
  <c r="W24" i="8"/>
  <c r="U24" i="8"/>
  <c r="S24" i="8"/>
  <c r="Q24" i="8"/>
  <c r="O24" i="8"/>
  <c r="M24" i="8"/>
  <c r="K24" i="8"/>
  <c r="I24" i="8"/>
  <c r="G24" i="8"/>
  <c r="E24" i="8"/>
  <c r="C24" i="8"/>
  <c r="D24" i="8" s="1"/>
  <c r="AI23" i="8"/>
  <c r="AJ23" i="8" s="1"/>
  <c r="AG23" i="8"/>
  <c r="AE23" i="8"/>
  <c r="AC23" i="8"/>
  <c r="AA23" i="8"/>
  <c r="Y23" i="8"/>
  <c r="W23" i="8"/>
  <c r="U23" i="8"/>
  <c r="S23" i="8"/>
  <c r="Q23" i="8"/>
  <c r="O23" i="8"/>
  <c r="M23" i="8"/>
  <c r="K23" i="8"/>
  <c r="I23" i="8"/>
  <c r="G23" i="8"/>
  <c r="E23" i="8"/>
  <c r="C23" i="8"/>
  <c r="D23" i="8" s="1"/>
  <c r="AI22" i="8"/>
  <c r="AJ22" i="8" s="1"/>
  <c r="AG22" i="8"/>
  <c r="AE22" i="8"/>
  <c r="AC22" i="8"/>
  <c r="AA22" i="8"/>
  <c r="Y22" i="8"/>
  <c r="W22" i="8"/>
  <c r="U22" i="8"/>
  <c r="S22" i="8"/>
  <c r="Q22" i="8"/>
  <c r="O22" i="8"/>
  <c r="M22" i="8"/>
  <c r="K22" i="8"/>
  <c r="I22" i="8"/>
  <c r="G22" i="8"/>
  <c r="E22" i="8"/>
  <c r="C22" i="8"/>
  <c r="D22" i="8" s="1"/>
  <c r="AI21" i="8"/>
  <c r="AJ21" i="8" s="1"/>
  <c r="AG21" i="8"/>
  <c r="AE21" i="8"/>
  <c r="AC21" i="8"/>
  <c r="AA21" i="8"/>
  <c r="Y21" i="8"/>
  <c r="W21" i="8"/>
  <c r="U21" i="8"/>
  <c r="S21" i="8"/>
  <c r="Q21" i="8"/>
  <c r="O21" i="8"/>
  <c r="M21" i="8"/>
  <c r="K21" i="8"/>
  <c r="I21" i="8"/>
  <c r="G21" i="8"/>
  <c r="E21" i="8"/>
  <c r="C21" i="8"/>
  <c r="D21" i="8" s="1"/>
  <c r="AI20" i="8"/>
  <c r="AJ20" i="8" s="1"/>
  <c r="AG20" i="8"/>
  <c r="AE20" i="8"/>
  <c r="AC20" i="8"/>
  <c r="AA20" i="8"/>
  <c r="Y20" i="8"/>
  <c r="W20" i="8"/>
  <c r="U20" i="8"/>
  <c r="S20" i="8"/>
  <c r="Q20" i="8"/>
  <c r="O20" i="8"/>
  <c r="M20" i="8"/>
  <c r="K20" i="8"/>
  <c r="I20" i="8"/>
  <c r="G20" i="8"/>
  <c r="E20" i="8"/>
  <c r="C20" i="8"/>
  <c r="D20" i="8" s="1"/>
  <c r="AI19" i="8"/>
  <c r="AJ19" i="8" s="1"/>
  <c r="AG19" i="8"/>
  <c r="AE19" i="8"/>
  <c r="AC19" i="8"/>
  <c r="AA19" i="8"/>
  <c r="Y19" i="8"/>
  <c r="W19" i="8"/>
  <c r="U19" i="8"/>
  <c r="S19" i="8"/>
  <c r="Q19" i="8"/>
  <c r="O19" i="8"/>
  <c r="M19" i="8"/>
  <c r="K19" i="8"/>
  <c r="I19" i="8"/>
  <c r="G19" i="8"/>
  <c r="E19" i="8"/>
  <c r="C19" i="8"/>
  <c r="D19" i="8" s="1"/>
  <c r="AI18" i="8"/>
  <c r="AJ18" i="8" s="1"/>
  <c r="AG18" i="8"/>
  <c r="AE18" i="8"/>
  <c r="AC18" i="8"/>
  <c r="AA18" i="8"/>
  <c r="Y18" i="8"/>
  <c r="W18" i="8"/>
  <c r="U18" i="8"/>
  <c r="S18" i="8"/>
  <c r="Q18" i="8"/>
  <c r="O18" i="8"/>
  <c r="M18" i="8"/>
  <c r="K18" i="8"/>
  <c r="I18" i="8"/>
  <c r="G18" i="8"/>
  <c r="E18" i="8"/>
  <c r="C18" i="8"/>
  <c r="D18" i="8" s="1"/>
  <c r="T18" i="8" s="1"/>
  <c r="AI17" i="8"/>
  <c r="AJ17" i="8" s="1"/>
  <c r="AG17" i="8"/>
  <c r="AE17" i="8"/>
  <c r="AC17" i="8"/>
  <c r="AA17" i="8"/>
  <c r="Y17" i="8"/>
  <c r="W17" i="8"/>
  <c r="U17" i="8"/>
  <c r="S17" i="8"/>
  <c r="Q17" i="8"/>
  <c r="O17" i="8"/>
  <c r="M17" i="8"/>
  <c r="K17" i="8"/>
  <c r="I17" i="8"/>
  <c r="G17" i="8"/>
  <c r="E17" i="8"/>
  <c r="C17" i="8"/>
  <c r="D17" i="8" s="1"/>
  <c r="AI16" i="8"/>
  <c r="AJ16" i="8" s="1"/>
  <c r="AG16" i="8"/>
  <c r="AE16" i="8"/>
  <c r="AC16" i="8"/>
  <c r="AA16" i="8"/>
  <c r="Y16" i="8"/>
  <c r="W16" i="8"/>
  <c r="U16" i="8"/>
  <c r="S16" i="8"/>
  <c r="Q16" i="8"/>
  <c r="O16" i="8"/>
  <c r="M16" i="8"/>
  <c r="K16" i="8"/>
  <c r="I16" i="8"/>
  <c r="G16" i="8"/>
  <c r="E16" i="8"/>
  <c r="C16" i="8"/>
  <c r="D16" i="8" s="1"/>
  <c r="AI15" i="8"/>
  <c r="AJ15" i="8" s="1"/>
  <c r="AG15" i="8"/>
  <c r="AE15" i="8"/>
  <c r="AC15" i="8"/>
  <c r="AA15" i="8"/>
  <c r="Y15" i="8"/>
  <c r="W15" i="8"/>
  <c r="U15" i="8"/>
  <c r="S15" i="8"/>
  <c r="Q15" i="8"/>
  <c r="O15" i="8"/>
  <c r="M15" i="8"/>
  <c r="K15" i="8"/>
  <c r="I15" i="8"/>
  <c r="G15" i="8"/>
  <c r="E15" i="8"/>
  <c r="C15" i="8"/>
  <c r="D15" i="8" s="1"/>
  <c r="AI14" i="8"/>
  <c r="AJ14" i="8" s="1"/>
  <c r="AG14" i="8"/>
  <c r="AE14" i="8"/>
  <c r="AC14" i="8"/>
  <c r="AA14" i="8"/>
  <c r="Y14" i="8"/>
  <c r="W14" i="8"/>
  <c r="U14" i="8"/>
  <c r="S14" i="8"/>
  <c r="Q14" i="8"/>
  <c r="O14" i="8"/>
  <c r="M14" i="8"/>
  <c r="K14" i="8"/>
  <c r="I14" i="8"/>
  <c r="G14" i="8"/>
  <c r="E14" i="8"/>
  <c r="C14" i="8"/>
  <c r="D14" i="8" s="1"/>
  <c r="AI13" i="8"/>
  <c r="AJ13" i="8" s="1"/>
  <c r="AG13" i="8"/>
  <c r="AE13" i="8"/>
  <c r="AC13" i="8"/>
  <c r="AA13" i="8"/>
  <c r="Y13" i="8"/>
  <c r="W13" i="8"/>
  <c r="U13" i="8"/>
  <c r="S13" i="8"/>
  <c r="Q13" i="8"/>
  <c r="O13" i="8"/>
  <c r="M13" i="8"/>
  <c r="K13" i="8"/>
  <c r="I13" i="8"/>
  <c r="G13" i="8"/>
  <c r="E13" i="8"/>
  <c r="C13" i="8"/>
  <c r="D13" i="8" s="1"/>
  <c r="AI12" i="8"/>
  <c r="AJ12" i="8" s="1"/>
  <c r="AG12" i="8"/>
  <c r="AE12" i="8"/>
  <c r="AC12" i="8"/>
  <c r="AA12" i="8"/>
  <c r="Y12" i="8"/>
  <c r="W12" i="8"/>
  <c r="U12" i="8"/>
  <c r="S12" i="8"/>
  <c r="Q12" i="8"/>
  <c r="O12" i="8"/>
  <c r="M12" i="8"/>
  <c r="K12" i="8"/>
  <c r="I12" i="8"/>
  <c r="G12" i="8"/>
  <c r="E12" i="8"/>
  <c r="C12" i="8"/>
  <c r="D12" i="8" s="1"/>
  <c r="AI11" i="8"/>
  <c r="AJ11" i="8" s="1"/>
  <c r="AG11" i="8"/>
  <c r="AE11" i="8"/>
  <c r="AC11" i="8"/>
  <c r="AA11" i="8"/>
  <c r="Y11" i="8"/>
  <c r="W11" i="8"/>
  <c r="U11" i="8"/>
  <c r="S11" i="8"/>
  <c r="Q11" i="8"/>
  <c r="O11" i="8"/>
  <c r="M11" i="8"/>
  <c r="K11" i="8"/>
  <c r="I11" i="8"/>
  <c r="G11" i="8"/>
  <c r="E11" i="8"/>
  <c r="C11" i="8"/>
  <c r="D11" i="8" s="1"/>
  <c r="AI10" i="8"/>
  <c r="AJ10" i="8" s="1"/>
  <c r="AG10" i="8"/>
  <c r="AE10" i="8"/>
  <c r="AC10" i="8"/>
  <c r="AA10" i="8"/>
  <c r="Y10" i="8"/>
  <c r="W10" i="8"/>
  <c r="U10" i="8"/>
  <c r="S10" i="8"/>
  <c r="Q10" i="8"/>
  <c r="O10" i="8"/>
  <c r="M10" i="8"/>
  <c r="K10" i="8"/>
  <c r="I10" i="8"/>
  <c r="G10" i="8"/>
  <c r="E10" i="8"/>
  <c r="C10" i="8"/>
  <c r="D10" i="8" s="1"/>
  <c r="AI9" i="8"/>
  <c r="AJ9" i="8" s="1"/>
  <c r="AG9" i="8"/>
  <c r="AE9" i="8"/>
  <c r="AC9" i="8"/>
  <c r="AA9" i="8"/>
  <c r="Y9" i="8"/>
  <c r="W9" i="8"/>
  <c r="U9" i="8"/>
  <c r="S9" i="8"/>
  <c r="Q9" i="8"/>
  <c r="O9" i="8"/>
  <c r="M9" i="8"/>
  <c r="K9" i="8"/>
  <c r="I9" i="8"/>
  <c r="G9" i="8"/>
  <c r="E9" i="8"/>
  <c r="C9" i="8"/>
  <c r="D9" i="8" s="1"/>
  <c r="AI8" i="8"/>
  <c r="AJ8" i="8" s="1"/>
  <c r="AG8" i="8"/>
  <c r="AE8" i="8"/>
  <c r="AC8" i="8"/>
  <c r="AA8" i="8"/>
  <c r="Y8" i="8"/>
  <c r="W8" i="8"/>
  <c r="U8" i="8"/>
  <c r="S8" i="8"/>
  <c r="Q8" i="8"/>
  <c r="O8" i="8"/>
  <c r="M8" i="8"/>
  <c r="K8" i="8"/>
  <c r="I8" i="8"/>
  <c r="G8" i="8"/>
  <c r="E8" i="8"/>
  <c r="C8" i="8"/>
  <c r="D8" i="8" s="1"/>
  <c r="AI7" i="8"/>
  <c r="AJ7" i="8" s="1"/>
  <c r="AG7" i="8"/>
  <c r="AE7" i="8"/>
  <c r="AC7" i="8"/>
  <c r="AA7" i="8"/>
  <c r="Y7" i="8"/>
  <c r="W7" i="8"/>
  <c r="U7" i="8"/>
  <c r="S7" i="8"/>
  <c r="Q7" i="8"/>
  <c r="O7" i="8"/>
  <c r="M7" i="8"/>
  <c r="K7" i="8"/>
  <c r="I7" i="8"/>
  <c r="G7" i="8"/>
  <c r="E7" i="8"/>
  <c r="C7" i="8"/>
  <c r="D7" i="8" s="1"/>
  <c r="AI6" i="8"/>
  <c r="AJ6" i="8" s="1"/>
  <c r="AG6" i="8"/>
  <c r="AE6" i="8"/>
  <c r="AC6" i="8"/>
  <c r="AA6" i="8"/>
  <c r="Y6" i="8"/>
  <c r="W6" i="8"/>
  <c r="U6" i="8"/>
  <c r="S6" i="8"/>
  <c r="Q6" i="8"/>
  <c r="O6" i="8"/>
  <c r="M6" i="8"/>
  <c r="K6" i="8"/>
  <c r="I6" i="8"/>
  <c r="G6" i="8"/>
  <c r="E6" i="8"/>
  <c r="C6" i="8"/>
  <c r="D6" i="8" s="1"/>
  <c r="AI5" i="8"/>
  <c r="AJ5" i="8" s="1"/>
  <c r="AG5" i="8"/>
  <c r="AE5" i="8"/>
  <c r="AC5" i="8"/>
  <c r="AA5" i="8"/>
  <c r="Y5" i="8"/>
  <c r="W5" i="8"/>
  <c r="U5" i="8"/>
  <c r="S5" i="8"/>
  <c r="Q5" i="8"/>
  <c r="O5" i="8"/>
  <c r="M5" i="8"/>
  <c r="K5" i="8"/>
  <c r="I5" i="8"/>
  <c r="G5" i="8"/>
  <c r="E5" i="8"/>
  <c r="C5" i="8"/>
  <c r="D5" i="8" s="1"/>
  <c r="AI4" i="8"/>
  <c r="AJ4" i="8" s="1"/>
  <c r="AG4" i="8"/>
  <c r="AE4" i="8"/>
  <c r="AC4" i="8"/>
  <c r="AA4" i="8"/>
  <c r="Y4" i="8"/>
  <c r="W4" i="8"/>
  <c r="U4" i="8"/>
  <c r="S4" i="8"/>
  <c r="Q4" i="8"/>
  <c r="O4" i="8"/>
  <c r="M4" i="8"/>
  <c r="K4" i="8"/>
  <c r="I4" i="8"/>
  <c r="G4" i="8"/>
  <c r="E4" i="8"/>
  <c r="C4" i="8"/>
  <c r="AE33" i="4"/>
  <c r="AF33" i="4" s="1"/>
  <c r="AC33" i="4"/>
  <c r="AA33" i="4"/>
  <c r="Y33" i="4"/>
  <c r="W33" i="4"/>
  <c r="U33" i="4"/>
  <c r="S33" i="4"/>
  <c r="Q33" i="4"/>
  <c r="O33" i="4"/>
  <c r="M33" i="4"/>
  <c r="K33" i="4"/>
  <c r="I33" i="4"/>
  <c r="G33" i="4"/>
  <c r="E33" i="4"/>
  <c r="C33" i="4"/>
  <c r="D33" i="4" s="1"/>
  <c r="AE32" i="4"/>
  <c r="AF32" i="4" s="1"/>
  <c r="AC32" i="4"/>
  <c r="AA32" i="4"/>
  <c r="Y32" i="4"/>
  <c r="W32" i="4"/>
  <c r="U32" i="4"/>
  <c r="S32" i="4"/>
  <c r="Q32" i="4"/>
  <c r="O32" i="4"/>
  <c r="M32" i="4"/>
  <c r="K32" i="4"/>
  <c r="I32" i="4"/>
  <c r="G32" i="4"/>
  <c r="E32" i="4"/>
  <c r="C32" i="4"/>
  <c r="D32" i="4" s="1"/>
  <c r="AE31" i="4"/>
  <c r="AF31" i="4" s="1"/>
  <c r="AC31" i="4"/>
  <c r="AA31" i="4"/>
  <c r="Y31" i="4"/>
  <c r="W31" i="4"/>
  <c r="U31" i="4"/>
  <c r="S31" i="4"/>
  <c r="Q31" i="4"/>
  <c r="O31" i="4"/>
  <c r="M31" i="4"/>
  <c r="K31" i="4"/>
  <c r="I31" i="4"/>
  <c r="G31" i="4"/>
  <c r="E31" i="4"/>
  <c r="C31" i="4"/>
  <c r="D31" i="4" s="1"/>
  <c r="AE30" i="4"/>
  <c r="AF30" i="4" s="1"/>
  <c r="AC30" i="4"/>
  <c r="AA30" i="4"/>
  <c r="Y30" i="4"/>
  <c r="W30" i="4"/>
  <c r="U30" i="4"/>
  <c r="S30" i="4"/>
  <c r="Q30" i="4"/>
  <c r="O30" i="4"/>
  <c r="M30" i="4"/>
  <c r="K30" i="4"/>
  <c r="I30" i="4"/>
  <c r="G30" i="4"/>
  <c r="E30" i="4"/>
  <c r="C30" i="4"/>
  <c r="D30" i="4" s="1"/>
  <c r="AE29" i="4"/>
  <c r="AF29" i="4" s="1"/>
  <c r="AC29" i="4"/>
  <c r="AA29" i="4"/>
  <c r="Y29" i="4"/>
  <c r="W29" i="4"/>
  <c r="U29" i="4"/>
  <c r="S29" i="4"/>
  <c r="Q29" i="4"/>
  <c r="O29" i="4"/>
  <c r="M29" i="4"/>
  <c r="K29" i="4"/>
  <c r="I29" i="4"/>
  <c r="G29" i="4"/>
  <c r="E29" i="4"/>
  <c r="C29" i="4"/>
  <c r="D29" i="4" s="1"/>
  <c r="AE28" i="4"/>
  <c r="AF28" i="4" s="1"/>
  <c r="AC28" i="4"/>
  <c r="AA28" i="4"/>
  <c r="Y28" i="4"/>
  <c r="W28" i="4"/>
  <c r="U28" i="4"/>
  <c r="S28" i="4"/>
  <c r="Q28" i="4"/>
  <c r="O28" i="4"/>
  <c r="M28" i="4"/>
  <c r="K28" i="4"/>
  <c r="I28" i="4"/>
  <c r="G28" i="4"/>
  <c r="E28" i="4"/>
  <c r="C28" i="4"/>
  <c r="D28" i="4" s="1"/>
  <c r="AE27" i="4"/>
  <c r="AF27" i="4" s="1"/>
  <c r="AC27" i="4"/>
  <c r="AA27" i="4"/>
  <c r="Y27" i="4"/>
  <c r="W27" i="4"/>
  <c r="U27" i="4"/>
  <c r="S27" i="4"/>
  <c r="Q27" i="4"/>
  <c r="O27" i="4"/>
  <c r="M27" i="4"/>
  <c r="K27" i="4"/>
  <c r="I27" i="4"/>
  <c r="G27" i="4"/>
  <c r="E27" i="4"/>
  <c r="C27" i="4"/>
  <c r="D27" i="4" s="1"/>
  <c r="AE26" i="4"/>
  <c r="AF26" i="4" s="1"/>
  <c r="AC26" i="4"/>
  <c r="AA26" i="4"/>
  <c r="Y26" i="4"/>
  <c r="W26" i="4"/>
  <c r="U26" i="4"/>
  <c r="S26" i="4"/>
  <c r="Q26" i="4"/>
  <c r="O26" i="4"/>
  <c r="M26" i="4"/>
  <c r="K26" i="4"/>
  <c r="I26" i="4"/>
  <c r="G26" i="4"/>
  <c r="E26" i="4"/>
  <c r="C26" i="4"/>
  <c r="D26" i="4" s="1"/>
  <c r="AE25" i="4"/>
  <c r="AF25" i="4" s="1"/>
  <c r="AC25" i="4"/>
  <c r="AA25" i="4"/>
  <c r="Y25" i="4"/>
  <c r="W25" i="4"/>
  <c r="U25" i="4"/>
  <c r="S25" i="4"/>
  <c r="Q25" i="4"/>
  <c r="O25" i="4"/>
  <c r="M25" i="4"/>
  <c r="K25" i="4"/>
  <c r="I25" i="4"/>
  <c r="G25" i="4"/>
  <c r="E25" i="4"/>
  <c r="C25" i="4"/>
  <c r="D25" i="4" s="1"/>
  <c r="AE24" i="4"/>
  <c r="AF24" i="4" s="1"/>
  <c r="AC24" i="4"/>
  <c r="AA24" i="4"/>
  <c r="Y24" i="4"/>
  <c r="W24" i="4"/>
  <c r="U24" i="4"/>
  <c r="S24" i="4"/>
  <c r="Q24" i="4"/>
  <c r="O24" i="4"/>
  <c r="M24" i="4"/>
  <c r="K24" i="4"/>
  <c r="I24" i="4"/>
  <c r="G24" i="4"/>
  <c r="E24" i="4"/>
  <c r="C24" i="4"/>
  <c r="D24" i="4" s="1"/>
  <c r="AE23" i="4"/>
  <c r="AF23" i="4" s="1"/>
  <c r="AC23" i="4"/>
  <c r="AA23" i="4"/>
  <c r="Y23" i="4"/>
  <c r="W23" i="4"/>
  <c r="U23" i="4"/>
  <c r="S23" i="4"/>
  <c r="Q23" i="4"/>
  <c r="O23" i="4"/>
  <c r="M23" i="4"/>
  <c r="K23" i="4"/>
  <c r="I23" i="4"/>
  <c r="G23" i="4"/>
  <c r="E23" i="4"/>
  <c r="C23" i="4"/>
  <c r="D23" i="4" s="1"/>
  <c r="AE22" i="4"/>
  <c r="AF22" i="4" s="1"/>
  <c r="AC22" i="4"/>
  <c r="AA22" i="4"/>
  <c r="Y22" i="4"/>
  <c r="W22" i="4"/>
  <c r="U22" i="4"/>
  <c r="S22" i="4"/>
  <c r="Q22" i="4"/>
  <c r="O22" i="4"/>
  <c r="M22" i="4"/>
  <c r="K22" i="4"/>
  <c r="I22" i="4"/>
  <c r="G22" i="4"/>
  <c r="E22" i="4"/>
  <c r="C22" i="4"/>
  <c r="D22" i="4" s="1"/>
  <c r="AE21" i="4"/>
  <c r="AF21" i="4" s="1"/>
  <c r="AC21" i="4"/>
  <c r="AA21" i="4"/>
  <c r="Y21" i="4"/>
  <c r="W21" i="4"/>
  <c r="U21" i="4"/>
  <c r="S21" i="4"/>
  <c r="Q21" i="4"/>
  <c r="O21" i="4"/>
  <c r="M21" i="4"/>
  <c r="K21" i="4"/>
  <c r="I21" i="4"/>
  <c r="G21" i="4"/>
  <c r="E21" i="4"/>
  <c r="C21" i="4"/>
  <c r="D21" i="4" s="1"/>
  <c r="AE20" i="4"/>
  <c r="AF20" i="4" s="1"/>
  <c r="AC20" i="4"/>
  <c r="AA20" i="4"/>
  <c r="Y20" i="4"/>
  <c r="W20" i="4"/>
  <c r="U20" i="4"/>
  <c r="S20" i="4"/>
  <c r="Q20" i="4"/>
  <c r="O20" i="4"/>
  <c r="M20" i="4"/>
  <c r="K20" i="4"/>
  <c r="I20" i="4"/>
  <c r="G20" i="4"/>
  <c r="E20" i="4"/>
  <c r="C20" i="4"/>
  <c r="D20" i="4" s="1"/>
  <c r="AE19" i="4"/>
  <c r="AF19" i="4" s="1"/>
  <c r="AC19" i="4"/>
  <c r="AA19" i="4"/>
  <c r="Y19" i="4"/>
  <c r="W19" i="4"/>
  <c r="U19" i="4"/>
  <c r="S19" i="4"/>
  <c r="Q19" i="4"/>
  <c r="O19" i="4"/>
  <c r="M19" i="4"/>
  <c r="K19" i="4"/>
  <c r="I19" i="4"/>
  <c r="G19" i="4"/>
  <c r="E19" i="4"/>
  <c r="C19" i="4"/>
  <c r="D19" i="4" s="1"/>
  <c r="AE18" i="4"/>
  <c r="AF18" i="4" s="1"/>
  <c r="AC18" i="4"/>
  <c r="AA18" i="4"/>
  <c r="Y18" i="4"/>
  <c r="W18" i="4"/>
  <c r="U18" i="4"/>
  <c r="S18" i="4"/>
  <c r="Q18" i="4"/>
  <c r="O18" i="4"/>
  <c r="M18" i="4"/>
  <c r="K18" i="4"/>
  <c r="I18" i="4"/>
  <c r="G18" i="4"/>
  <c r="E18" i="4"/>
  <c r="C18" i="4"/>
  <c r="D18" i="4" s="1"/>
  <c r="AE17" i="4"/>
  <c r="AF17" i="4" s="1"/>
  <c r="AC17" i="4"/>
  <c r="AA17" i="4"/>
  <c r="Y17" i="4"/>
  <c r="W17" i="4"/>
  <c r="U17" i="4"/>
  <c r="S17" i="4"/>
  <c r="Q17" i="4"/>
  <c r="O17" i="4"/>
  <c r="M17" i="4"/>
  <c r="K17" i="4"/>
  <c r="I17" i="4"/>
  <c r="G17" i="4"/>
  <c r="E17" i="4"/>
  <c r="C17" i="4"/>
  <c r="D17" i="4" s="1"/>
  <c r="AE16" i="4"/>
  <c r="AF16" i="4" s="1"/>
  <c r="AC16" i="4"/>
  <c r="AA16" i="4"/>
  <c r="Y16" i="4"/>
  <c r="W16" i="4"/>
  <c r="U16" i="4"/>
  <c r="S16" i="4"/>
  <c r="Q16" i="4"/>
  <c r="O16" i="4"/>
  <c r="M16" i="4"/>
  <c r="K16" i="4"/>
  <c r="I16" i="4"/>
  <c r="G16" i="4"/>
  <c r="E16" i="4"/>
  <c r="C16" i="4"/>
  <c r="D16" i="4" s="1"/>
  <c r="AE15" i="4"/>
  <c r="AF15" i="4" s="1"/>
  <c r="AC15" i="4"/>
  <c r="AA15" i="4"/>
  <c r="Y15" i="4"/>
  <c r="W15" i="4"/>
  <c r="U15" i="4"/>
  <c r="S15" i="4"/>
  <c r="Q15" i="4"/>
  <c r="O15" i="4"/>
  <c r="M15" i="4"/>
  <c r="K15" i="4"/>
  <c r="I15" i="4"/>
  <c r="G15" i="4"/>
  <c r="E15" i="4"/>
  <c r="C15" i="4"/>
  <c r="D15" i="4" s="1"/>
  <c r="AE14" i="4"/>
  <c r="AF14" i="4" s="1"/>
  <c r="AC14" i="4"/>
  <c r="AA14" i="4"/>
  <c r="Y14" i="4"/>
  <c r="W14" i="4"/>
  <c r="U14" i="4"/>
  <c r="S14" i="4"/>
  <c r="Q14" i="4"/>
  <c r="O14" i="4"/>
  <c r="M14" i="4"/>
  <c r="K14" i="4"/>
  <c r="I14" i="4"/>
  <c r="G14" i="4"/>
  <c r="E14" i="4"/>
  <c r="C14" i="4"/>
  <c r="D14" i="4" s="1"/>
  <c r="AE13" i="4"/>
  <c r="AF13" i="4" s="1"/>
  <c r="AC13" i="4"/>
  <c r="AA13" i="4"/>
  <c r="Y13" i="4"/>
  <c r="W13" i="4"/>
  <c r="U13" i="4"/>
  <c r="S13" i="4"/>
  <c r="Q13" i="4"/>
  <c r="O13" i="4"/>
  <c r="M13" i="4"/>
  <c r="K13" i="4"/>
  <c r="I13" i="4"/>
  <c r="G13" i="4"/>
  <c r="E13" i="4"/>
  <c r="C13" i="4"/>
  <c r="D13" i="4" s="1"/>
  <c r="N13" i="4" s="1"/>
  <c r="AE12" i="4"/>
  <c r="AF12" i="4" s="1"/>
  <c r="AC12" i="4"/>
  <c r="AA12" i="4"/>
  <c r="Y12" i="4"/>
  <c r="W12" i="4"/>
  <c r="U12" i="4"/>
  <c r="S12" i="4"/>
  <c r="Q12" i="4"/>
  <c r="O12" i="4"/>
  <c r="M12" i="4"/>
  <c r="K12" i="4"/>
  <c r="I12" i="4"/>
  <c r="G12" i="4"/>
  <c r="E12" i="4"/>
  <c r="C12" i="4"/>
  <c r="D12" i="4" s="1"/>
  <c r="AE11" i="4"/>
  <c r="AF11" i="4" s="1"/>
  <c r="AC11" i="4"/>
  <c r="AA11" i="4"/>
  <c r="Y11" i="4"/>
  <c r="W11" i="4"/>
  <c r="U11" i="4"/>
  <c r="S11" i="4"/>
  <c r="Q11" i="4"/>
  <c r="O11" i="4"/>
  <c r="M11" i="4"/>
  <c r="K11" i="4"/>
  <c r="I11" i="4"/>
  <c r="G11" i="4"/>
  <c r="E11" i="4"/>
  <c r="C11" i="4"/>
  <c r="D11" i="4" s="1"/>
  <c r="AE10" i="4"/>
  <c r="AF10" i="4" s="1"/>
  <c r="AC10" i="4"/>
  <c r="AA10" i="4"/>
  <c r="Y10" i="4"/>
  <c r="W10" i="4"/>
  <c r="U10" i="4"/>
  <c r="S10" i="4"/>
  <c r="Q10" i="4"/>
  <c r="O10" i="4"/>
  <c r="M10" i="4"/>
  <c r="K10" i="4"/>
  <c r="I10" i="4"/>
  <c r="G10" i="4"/>
  <c r="E10" i="4"/>
  <c r="C10" i="4"/>
  <c r="D10" i="4" s="1"/>
  <c r="AE9" i="4"/>
  <c r="AF9" i="4" s="1"/>
  <c r="AC9" i="4"/>
  <c r="AA9" i="4"/>
  <c r="Y9" i="4"/>
  <c r="W9" i="4"/>
  <c r="U9" i="4"/>
  <c r="S9" i="4"/>
  <c r="Q9" i="4"/>
  <c r="O9" i="4"/>
  <c r="M9" i="4"/>
  <c r="K9" i="4"/>
  <c r="I9" i="4"/>
  <c r="G9" i="4"/>
  <c r="E9" i="4"/>
  <c r="C9" i="4"/>
  <c r="D9" i="4" s="1"/>
  <c r="X9" i="4" s="1"/>
  <c r="AE8" i="4"/>
  <c r="AF8" i="4" s="1"/>
  <c r="AC8" i="4"/>
  <c r="AA8" i="4"/>
  <c r="Y8" i="4"/>
  <c r="W8" i="4"/>
  <c r="U8" i="4"/>
  <c r="S8" i="4"/>
  <c r="Q8" i="4"/>
  <c r="O8" i="4"/>
  <c r="M8" i="4"/>
  <c r="K8" i="4"/>
  <c r="I8" i="4"/>
  <c r="G8" i="4"/>
  <c r="E8" i="4"/>
  <c r="C8" i="4"/>
  <c r="D8" i="4" s="1"/>
  <c r="N8" i="4" s="1"/>
  <c r="AE7" i="4"/>
  <c r="AF7" i="4" s="1"/>
  <c r="AC7" i="4"/>
  <c r="AA7" i="4"/>
  <c r="Y7" i="4"/>
  <c r="W7" i="4"/>
  <c r="U7" i="4"/>
  <c r="S7" i="4"/>
  <c r="Q7" i="4"/>
  <c r="O7" i="4"/>
  <c r="M7" i="4"/>
  <c r="K7" i="4"/>
  <c r="I7" i="4"/>
  <c r="G7" i="4"/>
  <c r="E7" i="4"/>
  <c r="C7" i="4"/>
  <c r="D7" i="4" s="1"/>
  <c r="N7" i="4" s="1"/>
  <c r="AE6" i="4"/>
  <c r="AF6" i="4" s="1"/>
  <c r="AC6" i="4"/>
  <c r="AA6" i="4"/>
  <c r="Y6" i="4"/>
  <c r="W6" i="4"/>
  <c r="U6" i="4"/>
  <c r="S6" i="4"/>
  <c r="Q6" i="4"/>
  <c r="O6" i="4"/>
  <c r="M6" i="4"/>
  <c r="K6" i="4"/>
  <c r="I6" i="4"/>
  <c r="G6" i="4"/>
  <c r="E6" i="4"/>
  <c r="C6" i="4"/>
  <c r="D6" i="4" s="1"/>
  <c r="N6" i="4" s="1"/>
  <c r="AE5" i="4"/>
  <c r="AF5" i="4" s="1"/>
  <c r="AC5" i="4"/>
  <c r="AA5" i="4"/>
  <c r="Y5" i="4"/>
  <c r="W5" i="4"/>
  <c r="U5" i="4"/>
  <c r="S5" i="4"/>
  <c r="Q5" i="4"/>
  <c r="O5" i="4"/>
  <c r="M5" i="4"/>
  <c r="K5" i="4"/>
  <c r="I5" i="4"/>
  <c r="G5" i="4"/>
  <c r="E5" i="4"/>
  <c r="C5" i="4"/>
  <c r="D5" i="4" s="1"/>
  <c r="AE4" i="4"/>
  <c r="AF4" i="4" s="1"/>
  <c r="AC4" i="4"/>
  <c r="AA4" i="4"/>
  <c r="Y4" i="4"/>
  <c r="W4" i="4"/>
  <c r="U4" i="4"/>
  <c r="S4" i="4"/>
  <c r="Q4" i="4"/>
  <c r="O4" i="4"/>
  <c r="M4" i="4"/>
  <c r="K4" i="4"/>
  <c r="I4" i="4"/>
  <c r="G4" i="4"/>
  <c r="E4" i="4"/>
  <c r="C4" i="4"/>
  <c r="B25" i="2"/>
  <c r="B43" i="2" l="1"/>
  <c r="B31" i="2"/>
  <c r="D25" i="2"/>
  <c r="C25" i="2"/>
  <c r="Z6" i="4"/>
  <c r="X5" i="4"/>
  <c r="X13" i="4"/>
  <c r="X10" i="4"/>
  <c r="X8" i="4"/>
  <c r="X7" i="4"/>
  <c r="X12" i="4"/>
  <c r="X11" i="4"/>
  <c r="Z5" i="4"/>
  <c r="X6" i="4"/>
  <c r="Z19" i="8"/>
  <c r="V27" i="8"/>
  <c r="T14" i="8"/>
  <c r="P26" i="4"/>
  <c r="X30" i="8"/>
  <c r="L21" i="8"/>
  <c r="R7" i="8"/>
  <c r="J15" i="8"/>
  <c r="N11" i="10"/>
  <c r="Z29" i="4"/>
  <c r="H25" i="8"/>
  <c r="AF16" i="10"/>
  <c r="X20" i="10"/>
  <c r="J26" i="8"/>
  <c r="J20" i="10"/>
  <c r="R33" i="4"/>
  <c r="N5" i="8"/>
  <c r="AF26" i="8"/>
  <c r="F26" i="8"/>
  <c r="N14" i="4"/>
  <c r="AD22" i="8"/>
  <c r="R9" i="10"/>
  <c r="H16" i="10"/>
  <c r="P16" i="8"/>
  <c r="J7" i="8"/>
  <c r="N17" i="8"/>
  <c r="AF11" i="10"/>
  <c r="H17" i="10"/>
  <c r="Z25" i="8"/>
  <c r="F30" i="8"/>
  <c r="AF20" i="10"/>
  <c r="J33" i="8"/>
  <c r="L33" i="8"/>
  <c r="F26" i="4"/>
  <c r="H12" i="8"/>
  <c r="P21" i="10"/>
  <c r="V26" i="4"/>
  <c r="F22" i="4"/>
  <c r="F31" i="4"/>
  <c r="AD23" i="8"/>
  <c r="H26" i="8"/>
  <c r="AH30" i="8"/>
  <c r="AF29" i="10"/>
  <c r="R11" i="10"/>
  <c r="R16" i="10"/>
  <c r="F21" i="10"/>
  <c r="N9" i="8"/>
  <c r="L23" i="8"/>
  <c r="X26" i="8"/>
  <c r="P7" i="10"/>
  <c r="F11" i="10"/>
  <c r="H21" i="10"/>
  <c r="P12" i="10"/>
  <c r="J19" i="8"/>
  <c r="X11" i="10"/>
  <c r="T12" i="10"/>
  <c r="R30" i="8"/>
  <c r="AD30" i="8"/>
  <c r="Z11" i="10"/>
  <c r="AD28" i="8"/>
  <c r="F28" i="8"/>
  <c r="AH21" i="8"/>
  <c r="V23" i="4"/>
  <c r="H26" i="4"/>
  <c r="Z7" i="8"/>
  <c r="V9" i="8"/>
  <c r="AD17" i="8"/>
  <c r="P22" i="8"/>
  <c r="Z26" i="8"/>
  <c r="L9" i="10"/>
  <c r="AH20" i="10"/>
  <c r="AD21" i="10"/>
  <c r="V25" i="10"/>
  <c r="AD8" i="10"/>
  <c r="H25" i="10"/>
  <c r="AH15" i="8"/>
  <c r="R19" i="8"/>
  <c r="R22" i="8"/>
  <c r="AH22" i="8"/>
  <c r="N26" i="8"/>
  <c r="AD26" i="8"/>
  <c r="AH28" i="8"/>
  <c r="S35" i="10"/>
  <c r="X10" i="10"/>
  <c r="J11" i="10"/>
  <c r="AD11" i="10"/>
  <c r="L14" i="10"/>
  <c r="I35" i="8"/>
  <c r="F5" i="8"/>
  <c r="V17" i="8"/>
  <c r="AH19" i="8"/>
  <c r="AH33" i="8"/>
  <c r="F8" i="10"/>
  <c r="L15" i="10"/>
  <c r="AH15" i="10"/>
  <c r="H30" i="4"/>
  <c r="O35" i="8"/>
  <c r="AH7" i="8"/>
  <c r="AF8" i="8"/>
  <c r="J22" i="8"/>
  <c r="T33" i="8"/>
  <c r="X8" i="10"/>
  <c r="AD25" i="10"/>
  <c r="F17" i="10"/>
  <c r="P30" i="8"/>
  <c r="H11" i="10"/>
  <c r="J16" i="10"/>
  <c r="P16" i="10"/>
  <c r="F17" i="8"/>
  <c r="M35" i="8"/>
  <c r="R15" i="10"/>
  <c r="X12" i="8"/>
  <c r="P21" i="8"/>
  <c r="N24" i="8"/>
  <c r="Z28" i="8"/>
  <c r="AH7" i="10"/>
  <c r="AB8" i="10"/>
  <c r="AD13" i="4"/>
  <c r="Z11" i="8"/>
  <c r="Z15" i="8"/>
  <c r="AF25" i="10"/>
  <c r="AF33" i="10"/>
  <c r="Z16" i="4"/>
  <c r="Z5" i="10"/>
  <c r="Y35" i="8"/>
  <c r="X8" i="8"/>
  <c r="X20" i="8"/>
  <c r="L28" i="4"/>
  <c r="D11" i="9"/>
  <c r="AD30" i="4"/>
  <c r="J33" i="4"/>
  <c r="Z33" i="4"/>
  <c r="L27" i="4"/>
  <c r="V27" i="4"/>
  <c r="F27" i="4"/>
  <c r="P22" i="4"/>
  <c r="V31" i="4"/>
  <c r="AD22" i="4"/>
  <c r="Z8" i="4"/>
  <c r="AD9" i="4"/>
  <c r="AB26" i="4"/>
  <c r="AD26" i="4"/>
  <c r="R29" i="4"/>
  <c r="Z12" i="4"/>
  <c r="H13" i="4"/>
  <c r="X30" i="4"/>
  <c r="N31" i="4"/>
  <c r="AB31" i="4"/>
  <c r="D10" i="9"/>
  <c r="R5" i="4"/>
  <c r="J5" i="4"/>
  <c r="H5" i="4"/>
  <c r="J12" i="4"/>
  <c r="F10" i="4"/>
  <c r="O35" i="4"/>
  <c r="Q35" i="4"/>
  <c r="J8" i="4"/>
  <c r="R8" i="4"/>
  <c r="T7" i="4"/>
  <c r="F7" i="4"/>
  <c r="L7" i="4"/>
  <c r="AB6" i="4"/>
  <c r="AD6" i="4"/>
  <c r="AF35" i="4"/>
  <c r="AB5" i="4"/>
  <c r="I35" i="4"/>
  <c r="F5" i="4"/>
  <c r="P5" i="4"/>
  <c r="AB17" i="8"/>
  <c r="AH32" i="10"/>
  <c r="AH28" i="10"/>
  <c r="AB14" i="8"/>
  <c r="AB18" i="8"/>
  <c r="AB15" i="4"/>
  <c r="V15" i="4"/>
  <c r="N15" i="4"/>
  <c r="F15" i="4"/>
  <c r="Z15" i="4"/>
  <c r="R15" i="4"/>
  <c r="J15" i="4"/>
  <c r="AD15" i="4"/>
  <c r="X15" i="4"/>
  <c r="P15" i="4"/>
  <c r="H15" i="4"/>
  <c r="L15" i="4"/>
  <c r="T15" i="4"/>
  <c r="AB11" i="4"/>
  <c r="V11" i="4"/>
  <c r="F11" i="4"/>
  <c r="Z11" i="4"/>
  <c r="R11" i="4"/>
  <c r="J11" i="4"/>
  <c r="AD11" i="4"/>
  <c r="P11" i="4"/>
  <c r="H11" i="4"/>
  <c r="T11" i="4"/>
  <c r="L11" i="4"/>
  <c r="AB25" i="4"/>
  <c r="V25" i="4"/>
  <c r="N25" i="4"/>
  <c r="F25" i="4"/>
  <c r="T25" i="4"/>
  <c r="L25" i="4"/>
  <c r="X25" i="4"/>
  <c r="AD25" i="4"/>
  <c r="J25" i="4"/>
  <c r="R25" i="4"/>
  <c r="H25" i="4"/>
  <c r="Z25" i="4"/>
  <c r="P25" i="4"/>
  <c r="AH6" i="8"/>
  <c r="Z6" i="8"/>
  <c r="R6" i="8"/>
  <c r="J6" i="8"/>
  <c r="AF6" i="8"/>
  <c r="X6" i="8"/>
  <c r="P6" i="8"/>
  <c r="H6" i="8"/>
  <c r="AD6" i="8"/>
  <c r="V6" i="8"/>
  <c r="N6" i="8"/>
  <c r="F6" i="8"/>
  <c r="T6" i="8"/>
  <c r="AB6" i="8"/>
  <c r="L6" i="8"/>
  <c r="S35" i="4"/>
  <c r="T5" i="4"/>
  <c r="L5" i="4"/>
  <c r="V5" i="4"/>
  <c r="F6" i="4"/>
  <c r="Z9" i="4"/>
  <c r="R9" i="4"/>
  <c r="J9" i="4"/>
  <c r="AB9" i="4"/>
  <c r="V9" i="4"/>
  <c r="F9" i="4"/>
  <c r="T9" i="4"/>
  <c r="L9" i="4"/>
  <c r="P9" i="4"/>
  <c r="T12" i="4"/>
  <c r="L12" i="4"/>
  <c r="AD12" i="4"/>
  <c r="P12" i="4"/>
  <c r="H12" i="4"/>
  <c r="AB12" i="4"/>
  <c r="V12" i="4"/>
  <c r="F12" i="4"/>
  <c r="AA35" i="8"/>
  <c r="AH10" i="8"/>
  <c r="Z10" i="8"/>
  <c r="R10" i="8"/>
  <c r="J10" i="8"/>
  <c r="AF10" i="8"/>
  <c r="X10" i="8"/>
  <c r="P10" i="8"/>
  <c r="H10" i="8"/>
  <c r="AD10" i="8"/>
  <c r="V10" i="8"/>
  <c r="N10" i="8"/>
  <c r="F10" i="8"/>
  <c r="L10" i="8"/>
  <c r="T10" i="8"/>
  <c r="K35" i="4"/>
  <c r="AA35" i="4"/>
  <c r="AD5" i="4"/>
  <c r="P6" i="4"/>
  <c r="V10" i="4"/>
  <c r="R12" i="4"/>
  <c r="J16" i="4"/>
  <c r="C35" i="4"/>
  <c r="AC35" i="4"/>
  <c r="AD14" i="4"/>
  <c r="X14" i="4"/>
  <c r="P14" i="4"/>
  <c r="H14" i="4"/>
  <c r="T14" i="4"/>
  <c r="L14" i="4"/>
  <c r="Z14" i="4"/>
  <c r="R14" i="4"/>
  <c r="J14" i="4"/>
  <c r="Z17" i="4"/>
  <c r="R17" i="4"/>
  <c r="J17" i="4"/>
  <c r="AD17" i="4"/>
  <c r="X17" i="4"/>
  <c r="P17" i="4"/>
  <c r="AB17" i="4"/>
  <c r="V17" i="4"/>
  <c r="N17" i="4"/>
  <c r="F17" i="4"/>
  <c r="T17" i="4"/>
  <c r="L17" i="4"/>
  <c r="U35" i="4"/>
  <c r="H6" i="4"/>
  <c r="D4" i="4"/>
  <c r="N4" i="4" s="1"/>
  <c r="M35" i="4"/>
  <c r="W35" i="4"/>
  <c r="T8" i="4"/>
  <c r="L8" i="4"/>
  <c r="AD8" i="4"/>
  <c r="P8" i="4"/>
  <c r="H8" i="4"/>
  <c r="AB8" i="4"/>
  <c r="V8" i="4"/>
  <c r="F8" i="4"/>
  <c r="H9" i="4"/>
  <c r="AB14" i="4"/>
  <c r="E35" i="4"/>
  <c r="T6" i="4"/>
  <c r="AB7" i="4"/>
  <c r="V7" i="4"/>
  <c r="Z7" i="4"/>
  <c r="R7" i="4"/>
  <c r="J7" i="4"/>
  <c r="AD7" i="4"/>
  <c r="P7" i="4"/>
  <c r="H7" i="4"/>
  <c r="F14" i="4"/>
  <c r="T18" i="4"/>
  <c r="Z18" i="4"/>
  <c r="R18" i="4"/>
  <c r="P18" i="4"/>
  <c r="H18" i="4"/>
  <c r="X18" i="4"/>
  <c r="N18" i="4"/>
  <c r="F18" i="4"/>
  <c r="AD18" i="4"/>
  <c r="V18" i="4"/>
  <c r="L18" i="4"/>
  <c r="AB18" i="4"/>
  <c r="J18" i="4"/>
  <c r="AB10" i="8"/>
  <c r="G35" i="4"/>
  <c r="Y35" i="4"/>
  <c r="L6" i="4"/>
  <c r="AD10" i="4"/>
  <c r="P10" i="4"/>
  <c r="H10" i="4"/>
  <c r="T10" i="4"/>
  <c r="L10" i="4"/>
  <c r="Z10" i="4"/>
  <c r="R10" i="4"/>
  <c r="J10" i="4"/>
  <c r="Z13" i="4"/>
  <c r="R13" i="4"/>
  <c r="J13" i="4"/>
  <c r="AB13" i="4"/>
  <c r="V13" i="4"/>
  <c r="F13" i="4"/>
  <c r="T13" i="4"/>
  <c r="L13" i="4"/>
  <c r="P13" i="4"/>
  <c r="T16" i="4"/>
  <c r="L16" i="4"/>
  <c r="AD16" i="4"/>
  <c r="X16" i="4"/>
  <c r="P16" i="4"/>
  <c r="H16" i="4"/>
  <c r="AB16" i="4"/>
  <c r="V16" i="4"/>
  <c r="N16" i="4"/>
  <c r="F16" i="4"/>
  <c r="H17" i="4"/>
  <c r="Z19" i="4"/>
  <c r="R19" i="4"/>
  <c r="J19" i="4"/>
  <c r="AD19" i="4"/>
  <c r="X19" i="4"/>
  <c r="P19" i="4"/>
  <c r="H19" i="4"/>
  <c r="N19" i="4"/>
  <c r="V19" i="4"/>
  <c r="L19" i="4"/>
  <c r="AB19" i="4"/>
  <c r="T19" i="4"/>
  <c r="F19" i="4"/>
  <c r="Z32" i="4"/>
  <c r="R32" i="4"/>
  <c r="J32" i="4"/>
  <c r="AD32" i="4"/>
  <c r="X32" i="4"/>
  <c r="P32" i="4"/>
  <c r="H32" i="4"/>
  <c r="AB32" i="4"/>
  <c r="V32" i="4"/>
  <c r="N32" i="4"/>
  <c r="F32" i="4"/>
  <c r="L32" i="4"/>
  <c r="T32" i="4"/>
  <c r="R6" i="4"/>
  <c r="J6" i="4"/>
  <c r="V6" i="4"/>
  <c r="AB10" i="4"/>
  <c r="V14" i="4"/>
  <c r="R16" i="4"/>
  <c r="AD20" i="4"/>
  <c r="X20" i="4"/>
  <c r="P20" i="4"/>
  <c r="H20" i="4"/>
  <c r="AB20" i="4"/>
  <c r="V20" i="4"/>
  <c r="N20" i="4"/>
  <c r="F20" i="4"/>
  <c r="L20" i="4"/>
  <c r="T20" i="4"/>
  <c r="J20" i="4"/>
  <c r="R20" i="4"/>
  <c r="Z20" i="4"/>
  <c r="AD24" i="4"/>
  <c r="X24" i="4"/>
  <c r="P24" i="4"/>
  <c r="H24" i="4"/>
  <c r="AB24" i="4"/>
  <c r="V24" i="4"/>
  <c r="N24" i="4"/>
  <c r="F24" i="4"/>
  <c r="Z24" i="4"/>
  <c r="L24" i="4"/>
  <c r="T24" i="4"/>
  <c r="J24" i="4"/>
  <c r="R24" i="4"/>
  <c r="AB13" i="8"/>
  <c r="T13" i="8"/>
  <c r="L13" i="8"/>
  <c r="AH13" i="8"/>
  <c r="Z13" i="8"/>
  <c r="R13" i="8"/>
  <c r="J13" i="8"/>
  <c r="AF13" i="8"/>
  <c r="X13" i="8"/>
  <c r="P13" i="8"/>
  <c r="H13" i="8"/>
  <c r="N13" i="8"/>
  <c r="V13" i="8"/>
  <c r="F13" i="8"/>
  <c r="AD13" i="8"/>
  <c r="AD16" i="8"/>
  <c r="V16" i="8"/>
  <c r="N16" i="8"/>
  <c r="F16" i="8"/>
  <c r="AB16" i="8"/>
  <c r="T16" i="8"/>
  <c r="L16" i="8"/>
  <c r="AH16" i="8"/>
  <c r="Z16" i="8"/>
  <c r="R16" i="8"/>
  <c r="J16" i="8"/>
  <c r="X16" i="8"/>
  <c r="H16" i="8"/>
  <c r="AF16" i="8"/>
  <c r="AH26" i="10"/>
  <c r="Z26" i="10"/>
  <c r="R26" i="10"/>
  <c r="J26" i="10"/>
  <c r="AF26" i="10"/>
  <c r="X26" i="10"/>
  <c r="P26" i="10"/>
  <c r="H26" i="10"/>
  <c r="V26" i="10"/>
  <c r="L26" i="10"/>
  <c r="AD26" i="10"/>
  <c r="T26" i="10"/>
  <c r="AB26" i="10"/>
  <c r="F26" i="10"/>
  <c r="N26" i="10"/>
  <c r="X21" i="4"/>
  <c r="V22" i="4"/>
  <c r="T23" i="4"/>
  <c r="AB23" i="4"/>
  <c r="T26" i="4"/>
  <c r="L26" i="4"/>
  <c r="Z26" i="4"/>
  <c r="R26" i="4"/>
  <c r="J26" i="4"/>
  <c r="N26" i="4"/>
  <c r="X26" i="4"/>
  <c r="T31" i="4"/>
  <c r="L31" i="4"/>
  <c r="Z31" i="4"/>
  <c r="R31" i="4"/>
  <c r="J31" i="4"/>
  <c r="AD31" i="4"/>
  <c r="X31" i="4"/>
  <c r="P31" i="4"/>
  <c r="H31" i="4"/>
  <c r="C35" i="8"/>
  <c r="D4" i="8"/>
  <c r="AC35" i="8"/>
  <c r="AF7" i="8"/>
  <c r="X7" i="8"/>
  <c r="P7" i="8"/>
  <c r="H7" i="8"/>
  <c r="AD7" i="8"/>
  <c r="V7" i="8"/>
  <c r="N7" i="8"/>
  <c r="F7" i="8"/>
  <c r="AB7" i="8"/>
  <c r="T7" i="8"/>
  <c r="L7" i="8"/>
  <c r="H8" i="8"/>
  <c r="AH11" i="8"/>
  <c r="AF20" i="8"/>
  <c r="AB21" i="4"/>
  <c r="V21" i="4"/>
  <c r="N21" i="4"/>
  <c r="F21" i="4"/>
  <c r="T21" i="4"/>
  <c r="L21" i="4"/>
  <c r="Z28" i="4"/>
  <c r="R28" i="4"/>
  <c r="J28" i="4"/>
  <c r="AD28" i="4"/>
  <c r="X28" i="4"/>
  <c r="P28" i="4"/>
  <c r="H28" i="4"/>
  <c r="AB28" i="4"/>
  <c r="V28" i="4"/>
  <c r="N28" i="4"/>
  <c r="F28" i="4"/>
  <c r="E35" i="8"/>
  <c r="Q35" i="8"/>
  <c r="AE35" i="8"/>
  <c r="V5" i="8"/>
  <c r="J11" i="8"/>
  <c r="L18" i="8"/>
  <c r="AF19" i="8"/>
  <c r="X19" i="8"/>
  <c r="P19" i="8"/>
  <c r="H19" i="8"/>
  <c r="AD19" i="8"/>
  <c r="V19" i="8"/>
  <c r="N19" i="8"/>
  <c r="F19" i="8"/>
  <c r="AB19" i="8"/>
  <c r="T19" i="8"/>
  <c r="L19" i="8"/>
  <c r="H20" i="8"/>
  <c r="AD25" i="8"/>
  <c r="V25" i="8"/>
  <c r="N25" i="8"/>
  <c r="F25" i="8"/>
  <c r="AH25" i="8"/>
  <c r="P25" i="8"/>
  <c r="X25" i="8"/>
  <c r="AF25" i="8"/>
  <c r="L25" i="8"/>
  <c r="T25" i="8"/>
  <c r="AB25" i="8"/>
  <c r="J25" i="8"/>
  <c r="R25" i="8"/>
  <c r="AD29" i="8"/>
  <c r="V29" i="8"/>
  <c r="N29" i="8"/>
  <c r="F29" i="8"/>
  <c r="Z29" i="8"/>
  <c r="H29" i="8"/>
  <c r="AH29" i="8"/>
  <c r="P29" i="8"/>
  <c r="X29" i="8"/>
  <c r="AF29" i="8"/>
  <c r="L29" i="8"/>
  <c r="T29" i="8"/>
  <c r="AB29" i="8"/>
  <c r="J29" i="8"/>
  <c r="R29" i="8"/>
  <c r="AB31" i="8"/>
  <c r="AH31" i="8"/>
  <c r="Z31" i="8"/>
  <c r="R31" i="8"/>
  <c r="J31" i="8"/>
  <c r="AF31" i="8"/>
  <c r="V31" i="8"/>
  <c r="L31" i="8"/>
  <c r="AD31" i="8"/>
  <c r="T31" i="8"/>
  <c r="H31" i="8"/>
  <c r="P31" i="8"/>
  <c r="X31" i="8"/>
  <c r="F31" i="8"/>
  <c r="P21" i="4"/>
  <c r="Z21" i="4"/>
  <c r="T22" i="4"/>
  <c r="L22" i="4"/>
  <c r="Z22" i="4"/>
  <c r="R22" i="4"/>
  <c r="J22" i="4"/>
  <c r="N22" i="4"/>
  <c r="X22" i="4"/>
  <c r="L23" i="4"/>
  <c r="T27" i="4"/>
  <c r="Z27" i="4"/>
  <c r="R27" i="4"/>
  <c r="J27" i="4"/>
  <c r="AD27" i="4"/>
  <c r="X27" i="4"/>
  <c r="P27" i="4"/>
  <c r="H27" i="4"/>
  <c r="N27" i="4"/>
  <c r="J29" i="4"/>
  <c r="G35" i="8"/>
  <c r="S35" i="8"/>
  <c r="AB9" i="8"/>
  <c r="T9" i="8"/>
  <c r="L9" i="8"/>
  <c r="AH9" i="8"/>
  <c r="Z9" i="8"/>
  <c r="R9" i="8"/>
  <c r="J9" i="8"/>
  <c r="AF9" i="8"/>
  <c r="X9" i="8"/>
  <c r="P9" i="8"/>
  <c r="H9" i="8"/>
  <c r="AD12" i="8"/>
  <c r="V12" i="8"/>
  <c r="N12" i="8"/>
  <c r="F12" i="8"/>
  <c r="AB12" i="8"/>
  <c r="T12" i="8"/>
  <c r="L12" i="8"/>
  <c r="AH12" i="8"/>
  <c r="Z12" i="8"/>
  <c r="R12" i="8"/>
  <c r="J12" i="8"/>
  <c r="P12" i="8"/>
  <c r="L14" i="8"/>
  <c r="AF15" i="8"/>
  <c r="X15" i="8"/>
  <c r="P15" i="8"/>
  <c r="H15" i="8"/>
  <c r="AD15" i="8"/>
  <c r="V15" i="8"/>
  <c r="N15" i="8"/>
  <c r="F15" i="8"/>
  <c r="AB15" i="8"/>
  <c r="T15" i="8"/>
  <c r="L15" i="8"/>
  <c r="T28" i="4"/>
  <c r="AB30" i="4"/>
  <c r="V30" i="4"/>
  <c r="N30" i="4"/>
  <c r="F30" i="4"/>
  <c r="T30" i="4"/>
  <c r="L30" i="4"/>
  <c r="Z30" i="4"/>
  <c r="R30" i="4"/>
  <c r="J30" i="4"/>
  <c r="P30" i="4"/>
  <c r="AD33" i="4"/>
  <c r="X33" i="4"/>
  <c r="P33" i="4"/>
  <c r="H33" i="4"/>
  <c r="AB33" i="4"/>
  <c r="V33" i="4"/>
  <c r="N33" i="4"/>
  <c r="F33" i="4"/>
  <c r="T33" i="4"/>
  <c r="L33" i="4"/>
  <c r="U35" i="8"/>
  <c r="AG35" i="8"/>
  <c r="AD9" i="8"/>
  <c r="R15" i="8"/>
  <c r="AH23" i="8"/>
  <c r="Z23" i="8"/>
  <c r="R23" i="8"/>
  <c r="J23" i="8"/>
  <c r="T23" i="8"/>
  <c r="AB23" i="8"/>
  <c r="H23" i="8"/>
  <c r="P23" i="8"/>
  <c r="X23" i="8"/>
  <c r="F23" i="8"/>
  <c r="AF23" i="8"/>
  <c r="N23" i="8"/>
  <c r="V23" i="8"/>
  <c r="AH27" i="8"/>
  <c r="Z27" i="8"/>
  <c r="R27" i="8"/>
  <c r="J27" i="8"/>
  <c r="AD27" i="8"/>
  <c r="L27" i="8"/>
  <c r="T27" i="8"/>
  <c r="AB27" i="8"/>
  <c r="H27" i="8"/>
  <c r="P27" i="8"/>
  <c r="X27" i="8"/>
  <c r="F27" i="8"/>
  <c r="AF27" i="8"/>
  <c r="N27" i="8"/>
  <c r="H21" i="4"/>
  <c r="R21" i="4"/>
  <c r="Z23" i="4"/>
  <c r="R23" i="4"/>
  <c r="J23" i="4"/>
  <c r="AD23" i="4"/>
  <c r="X23" i="4"/>
  <c r="P23" i="4"/>
  <c r="H23" i="4"/>
  <c r="N23" i="4"/>
  <c r="AB27" i="4"/>
  <c r="W35" i="8"/>
  <c r="AJ35" i="8"/>
  <c r="F9" i="8"/>
  <c r="AF12" i="8"/>
  <c r="AH18" i="8"/>
  <c r="Z18" i="8"/>
  <c r="R18" i="8"/>
  <c r="J18" i="8"/>
  <c r="AF18" i="8"/>
  <c r="X18" i="8"/>
  <c r="P18" i="8"/>
  <c r="H18" i="8"/>
  <c r="AD18" i="8"/>
  <c r="V18" i="8"/>
  <c r="N18" i="8"/>
  <c r="F18" i="8"/>
  <c r="V32" i="8"/>
  <c r="AD6" i="10"/>
  <c r="V6" i="10"/>
  <c r="N6" i="10"/>
  <c r="F6" i="10"/>
  <c r="R6" i="10"/>
  <c r="Z6" i="10"/>
  <c r="H6" i="10"/>
  <c r="AH6" i="10"/>
  <c r="P6" i="10"/>
  <c r="X6" i="10"/>
  <c r="L6" i="10"/>
  <c r="T6" i="10"/>
  <c r="AB6" i="10"/>
  <c r="J6" i="10"/>
  <c r="AF6" i="10"/>
  <c r="K35" i="8"/>
  <c r="AB5" i="8"/>
  <c r="T5" i="8"/>
  <c r="L5" i="8"/>
  <c r="AH5" i="8"/>
  <c r="Z5" i="8"/>
  <c r="R5" i="8"/>
  <c r="J5" i="8"/>
  <c r="AF5" i="8"/>
  <c r="X5" i="8"/>
  <c r="P5" i="8"/>
  <c r="H5" i="8"/>
  <c r="AD8" i="8"/>
  <c r="V8" i="8"/>
  <c r="N8" i="8"/>
  <c r="F8" i="8"/>
  <c r="AB8" i="8"/>
  <c r="T8" i="8"/>
  <c r="L8" i="8"/>
  <c r="AH8" i="8"/>
  <c r="Z8" i="8"/>
  <c r="R8" i="8"/>
  <c r="J8" i="8"/>
  <c r="P8" i="8"/>
  <c r="AF11" i="8"/>
  <c r="X11" i="8"/>
  <c r="P11" i="8"/>
  <c r="H11" i="8"/>
  <c r="AD11" i="8"/>
  <c r="V11" i="8"/>
  <c r="N11" i="8"/>
  <c r="F11" i="8"/>
  <c r="AB11" i="8"/>
  <c r="T11" i="8"/>
  <c r="L11" i="8"/>
  <c r="AH14" i="8"/>
  <c r="Z14" i="8"/>
  <c r="R14" i="8"/>
  <c r="J14" i="8"/>
  <c r="AF14" i="8"/>
  <c r="X14" i="8"/>
  <c r="P14" i="8"/>
  <c r="H14" i="8"/>
  <c r="AD14" i="8"/>
  <c r="V14" i="8"/>
  <c r="N14" i="8"/>
  <c r="F14" i="8"/>
  <c r="AF13" i="10"/>
  <c r="X13" i="10"/>
  <c r="P13" i="10"/>
  <c r="H13" i="10"/>
  <c r="R13" i="10"/>
  <c r="Z13" i="10"/>
  <c r="AH13" i="10"/>
  <c r="F13" i="10"/>
  <c r="N13" i="10"/>
  <c r="AD13" i="10"/>
  <c r="L13" i="10"/>
  <c r="T13" i="10"/>
  <c r="AB13" i="10"/>
  <c r="J13" i="10"/>
  <c r="V13" i="10"/>
  <c r="J21" i="4"/>
  <c r="AD21" i="4"/>
  <c r="H22" i="4"/>
  <c r="AB22" i="4"/>
  <c r="F23" i="4"/>
  <c r="AD29" i="4"/>
  <c r="X29" i="4"/>
  <c r="P29" i="4"/>
  <c r="H29" i="4"/>
  <c r="AB29" i="4"/>
  <c r="V29" i="4"/>
  <c r="N29" i="4"/>
  <c r="F29" i="4"/>
  <c r="T29" i="4"/>
  <c r="L29" i="4"/>
  <c r="AD5" i="8"/>
  <c r="R11" i="8"/>
  <c r="AD20" i="8"/>
  <c r="V20" i="8"/>
  <c r="N20" i="8"/>
  <c r="F20" i="8"/>
  <c r="AB20" i="8"/>
  <c r="T20" i="8"/>
  <c r="L20" i="8"/>
  <c r="AH20" i="8"/>
  <c r="Z20" i="8"/>
  <c r="R20" i="8"/>
  <c r="J20" i="8"/>
  <c r="P20" i="8"/>
  <c r="AF24" i="8"/>
  <c r="X24" i="8"/>
  <c r="P24" i="8"/>
  <c r="H24" i="8"/>
  <c r="V24" i="8"/>
  <c r="AD24" i="8"/>
  <c r="L24" i="8"/>
  <c r="T24" i="8"/>
  <c r="AB24" i="8"/>
  <c r="J24" i="8"/>
  <c r="R24" i="8"/>
  <c r="Z24" i="8"/>
  <c r="AH24" i="8"/>
  <c r="F24" i="8"/>
  <c r="H21" i="8"/>
  <c r="Z21" i="8"/>
  <c r="AB30" i="8"/>
  <c r="T30" i="8"/>
  <c r="L30" i="8"/>
  <c r="V30" i="8"/>
  <c r="L32" i="8"/>
  <c r="H17" i="8"/>
  <c r="P17" i="8"/>
  <c r="X17" i="8"/>
  <c r="AF17" i="8"/>
  <c r="R21" i="8"/>
  <c r="AB26" i="8"/>
  <c r="T26" i="8"/>
  <c r="L26" i="8"/>
  <c r="V26" i="8"/>
  <c r="R28" i="8"/>
  <c r="N30" i="8"/>
  <c r="AF30" i="8"/>
  <c r="AD10" i="10"/>
  <c r="V10" i="10"/>
  <c r="N10" i="10"/>
  <c r="F10" i="10"/>
  <c r="AB10" i="10"/>
  <c r="J10" i="10"/>
  <c r="R10" i="10"/>
  <c r="Z10" i="10"/>
  <c r="H10" i="10"/>
  <c r="AH10" i="10"/>
  <c r="P10" i="10"/>
  <c r="AF10" i="10"/>
  <c r="L10" i="10"/>
  <c r="AH18" i="10"/>
  <c r="Z18" i="10"/>
  <c r="R18" i="10"/>
  <c r="J18" i="10"/>
  <c r="AF18" i="10"/>
  <c r="X18" i="10"/>
  <c r="P18" i="10"/>
  <c r="H18" i="10"/>
  <c r="V18" i="10"/>
  <c r="L18" i="10"/>
  <c r="AD18" i="10"/>
  <c r="T18" i="10"/>
  <c r="F18" i="10"/>
  <c r="AB18" i="10"/>
  <c r="N18" i="10"/>
  <c r="J21" i="8"/>
  <c r="AB21" i="8"/>
  <c r="AB22" i="8"/>
  <c r="T22" i="8"/>
  <c r="L22" i="8"/>
  <c r="V22" i="8"/>
  <c r="J28" i="8"/>
  <c r="AB28" i="8"/>
  <c r="AH32" i="8"/>
  <c r="Z32" i="8"/>
  <c r="R32" i="8"/>
  <c r="J32" i="8"/>
  <c r="AF32" i="8"/>
  <c r="X32" i="8"/>
  <c r="P32" i="8"/>
  <c r="H32" i="8"/>
  <c r="N32" i="8"/>
  <c r="K35" i="10"/>
  <c r="AJ35" i="10"/>
  <c r="J17" i="8"/>
  <c r="R17" i="8"/>
  <c r="Z17" i="8"/>
  <c r="AH17" i="8"/>
  <c r="T21" i="8"/>
  <c r="N22" i="8"/>
  <c r="AF22" i="8"/>
  <c r="T28" i="8"/>
  <c r="AF5" i="10"/>
  <c r="X5" i="10"/>
  <c r="P5" i="10"/>
  <c r="H5" i="10"/>
  <c r="AH5" i="10"/>
  <c r="F5" i="10"/>
  <c r="N5" i="10"/>
  <c r="V5" i="10"/>
  <c r="AD5" i="10"/>
  <c r="L5" i="10"/>
  <c r="AB5" i="10"/>
  <c r="J5" i="10"/>
  <c r="R5" i="10"/>
  <c r="AB7" i="10"/>
  <c r="T7" i="10"/>
  <c r="L7" i="10"/>
  <c r="AD7" i="10"/>
  <c r="J7" i="10"/>
  <c r="R7" i="10"/>
  <c r="Z7" i="10"/>
  <c r="H7" i="10"/>
  <c r="X7" i="10"/>
  <c r="F7" i="10"/>
  <c r="AF7" i="10"/>
  <c r="N7" i="10"/>
  <c r="AH12" i="10"/>
  <c r="Z12" i="10"/>
  <c r="R12" i="10"/>
  <c r="J12" i="10"/>
  <c r="X12" i="10"/>
  <c r="F12" i="10"/>
  <c r="AF12" i="10"/>
  <c r="N12" i="10"/>
  <c r="V12" i="10"/>
  <c r="AD12" i="10"/>
  <c r="L12" i="10"/>
  <c r="AB12" i="10"/>
  <c r="H12" i="10"/>
  <c r="AD14" i="10"/>
  <c r="V14" i="10"/>
  <c r="N14" i="10"/>
  <c r="F14" i="10"/>
  <c r="T14" i="10"/>
  <c r="AB14" i="10"/>
  <c r="J14" i="10"/>
  <c r="R14" i="10"/>
  <c r="Z14" i="10"/>
  <c r="H14" i="10"/>
  <c r="X14" i="10"/>
  <c r="AF14" i="10"/>
  <c r="P14" i="10"/>
  <c r="F22" i="8"/>
  <c r="X22" i="8"/>
  <c r="P26" i="8"/>
  <c r="AH26" i="8"/>
  <c r="L28" i="8"/>
  <c r="H30" i="8"/>
  <c r="Z30" i="8"/>
  <c r="F32" i="8"/>
  <c r="AB32" i="8"/>
  <c r="AF33" i="8"/>
  <c r="X33" i="8"/>
  <c r="P33" i="8"/>
  <c r="H33" i="8"/>
  <c r="AD33" i="8"/>
  <c r="V33" i="8"/>
  <c r="N33" i="8"/>
  <c r="F33" i="8"/>
  <c r="Z33" i="8"/>
  <c r="C12" i="9"/>
  <c r="D12" i="9" s="1"/>
  <c r="AA35" i="10"/>
  <c r="T5" i="10"/>
  <c r="AF9" i="10"/>
  <c r="X9" i="10"/>
  <c r="P9" i="10"/>
  <c r="H9" i="10"/>
  <c r="Z9" i="10"/>
  <c r="AH9" i="10"/>
  <c r="F9" i="10"/>
  <c r="N9" i="10"/>
  <c r="V9" i="10"/>
  <c r="T9" i="10"/>
  <c r="AB9" i="10"/>
  <c r="J9" i="10"/>
  <c r="AD9" i="10"/>
  <c r="AF19" i="10"/>
  <c r="X19" i="10"/>
  <c r="P19" i="10"/>
  <c r="H19" i="10"/>
  <c r="AD19" i="10"/>
  <c r="V19" i="10"/>
  <c r="N19" i="10"/>
  <c r="F19" i="10"/>
  <c r="T19" i="10"/>
  <c r="J19" i="10"/>
  <c r="AB19" i="10"/>
  <c r="R19" i="10"/>
  <c r="Z19" i="10"/>
  <c r="L19" i="10"/>
  <c r="AH19" i="10"/>
  <c r="L17" i="8"/>
  <c r="T17" i="8"/>
  <c r="AD21" i="8"/>
  <c r="V21" i="8"/>
  <c r="N21" i="8"/>
  <c r="F21" i="8"/>
  <c r="AF21" i="8"/>
  <c r="AF28" i="8"/>
  <c r="X28" i="8"/>
  <c r="P28" i="8"/>
  <c r="H28" i="8"/>
  <c r="V28" i="8"/>
  <c r="C35" i="10"/>
  <c r="D4" i="10"/>
  <c r="AH14" i="10"/>
  <c r="X21" i="8"/>
  <c r="H22" i="8"/>
  <c r="Z22" i="8"/>
  <c r="R26" i="8"/>
  <c r="N28" i="8"/>
  <c r="J30" i="8"/>
  <c r="T32" i="8"/>
  <c r="AD32" i="8"/>
  <c r="R33" i="8"/>
  <c r="AB33" i="8"/>
  <c r="V7" i="10"/>
  <c r="I35" i="10"/>
  <c r="Q35" i="10"/>
  <c r="Y35" i="10"/>
  <c r="AG35" i="10"/>
  <c r="P8" i="10"/>
  <c r="AF27" i="10"/>
  <c r="X27" i="10"/>
  <c r="P27" i="10"/>
  <c r="H27" i="10"/>
  <c r="AD27" i="10"/>
  <c r="V27" i="10"/>
  <c r="N27" i="10"/>
  <c r="F27" i="10"/>
  <c r="T27" i="10"/>
  <c r="J27" i="10"/>
  <c r="AB27" i="10"/>
  <c r="R27" i="10"/>
  <c r="Z27" i="10"/>
  <c r="AH27" i="10"/>
  <c r="L27" i="10"/>
  <c r="H8" i="10"/>
  <c r="P11" i="10"/>
  <c r="AH11" i="10"/>
  <c r="J15" i="10"/>
  <c r="T15" i="10"/>
  <c r="T8" i="10"/>
  <c r="AB17" i="10"/>
  <c r="T17" i="10"/>
  <c r="L17" i="10"/>
  <c r="AH17" i="10"/>
  <c r="Z17" i="10"/>
  <c r="R17" i="10"/>
  <c r="J17" i="10"/>
  <c r="X17" i="10"/>
  <c r="N17" i="10"/>
  <c r="AF17" i="10"/>
  <c r="V17" i="10"/>
  <c r="AH22" i="10"/>
  <c r="Z22" i="10"/>
  <c r="R22" i="10"/>
  <c r="J22" i="10"/>
  <c r="AF22" i="10"/>
  <c r="X22" i="10"/>
  <c r="P22" i="10"/>
  <c r="H22" i="10"/>
  <c r="AD22" i="10"/>
  <c r="T22" i="10"/>
  <c r="AB22" i="10"/>
  <c r="F22" i="10"/>
  <c r="N22" i="10"/>
  <c r="V22" i="10"/>
  <c r="L22" i="10"/>
  <c r="AH30" i="10"/>
  <c r="Z30" i="10"/>
  <c r="R30" i="10"/>
  <c r="J30" i="10"/>
  <c r="AF30" i="10"/>
  <c r="X30" i="10"/>
  <c r="P30" i="10"/>
  <c r="H30" i="10"/>
  <c r="N30" i="10"/>
  <c r="V30" i="10"/>
  <c r="L30" i="10"/>
  <c r="AD30" i="10"/>
  <c r="T30" i="10"/>
  <c r="AB30" i="10"/>
  <c r="F30" i="10"/>
  <c r="E35" i="10"/>
  <c r="M35" i="10"/>
  <c r="U35" i="10"/>
  <c r="AC35" i="10"/>
  <c r="L8" i="10"/>
  <c r="AD16" i="10"/>
  <c r="V16" i="10"/>
  <c r="N16" i="10"/>
  <c r="F16" i="10"/>
  <c r="AB16" i="10"/>
  <c r="T16" i="10"/>
  <c r="L16" i="10"/>
  <c r="AH16" i="10"/>
  <c r="X16" i="10"/>
  <c r="Z16" i="10"/>
  <c r="P17" i="10"/>
  <c r="AD17" i="10"/>
  <c r="AD20" i="10"/>
  <c r="V20" i="10"/>
  <c r="N20" i="10"/>
  <c r="F20" i="10"/>
  <c r="AB20" i="10"/>
  <c r="T20" i="10"/>
  <c r="L20" i="10"/>
  <c r="R20" i="10"/>
  <c r="H20" i="10"/>
  <c r="Z20" i="10"/>
  <c r="P20" i="10"/>
  <c r="AF23" i="10"/>
  <c r="X23" i="10"/>
  <c r="P23" i="10"/>
  <c r="H23" i="10"/>
  <c r="AD23" i="10"/>
  <c r="V23" i="10"/>
  <c r="N23" i="10"/>
  <c r="F23" i="10"/>
  <c r="AB23" i="10"/>
  <c r="R23" i="10"/>
  <c r="Z23" i="10"/>
  <c r="AH23" i="10"/>
  <c r="L23" i="10"/>
  <c r="T23" i="10"/>
  <c r="J23" i="10"/>
  <c r="AF31" i="10"/>
  <c r="X31" i="10"/>
  <c r="P31" i="10"/>
  <c r="H31" i="10"/>
  <c r="AD31" i="10"/>
  <c r="V31" i="10"/>
  <c r="N31" i="10"/>
  <c r="F31" i="10"/>
  <c r="AH31" i="10"/>
  <c r="L31" i="10"/>
  <c r="T31" i="10"/>
  <c r="J31" i="10"/>
  <c r="AB31" i="10"/>
  <c r="R31" i="10"/>
  <c r="Z31" i="10"/>
  <c r="AH8" i="10"/>
  <c r="Z8" i="10"/>
  <c r="R8" i="10"/>
  <c r="J8" i="10"/>
  <c r="V8" i="10"/>
  <c r="AF15" i="10"/>
  <c r="X15" i="10"/>
  <c r="P15" i="10"/>
  <c r="H15" i="10"/>
  <c r="AD15" i="10"/>
  <c r="V15" i="10"/>
  <c r="N15" i="10"/>
  <c r="F15" i="10"/>
  <c r="Z15" i="10"/>
  <c r="AD24" i="10"/>
  <c r="V24" i="10"/>
  <c r="N24" i="10"/>
  <c r="F24" i="10"/>
  <c r="AB24" i="10"/>
  <c r="T24" i="10"/>
  <c r="L24" i="10"/>
  <c r="Z24" i="10"/>
  <c r="P24" i="10"/>
  <c r="AH24" i="10"/>
  <c r="X24" i="10"/>
  <c r="AF24" i="10"/>
  <c r="J24" i="10"/>
  <c r="R24" i="10"/>
  <c r="H24" i="10"/>
  <c r="G35" i="10"/>
  <c r="O35" i="10"/>
  <c r="W35" i="10"/>
  <c r="AE35" i="10"/>
  <c r="N8" i="10"/>
  <c r="AF8" i="10"/>
  <c r="AB11" i="10"/>
  <c r="T11" i="10"/>
  <c r="L11" i="10"/>
  <c r="V11" i="10"/>
  <c r="AB15" i="10"/>
  <c r="AB21" i="10"/>
  <c r="T21" i="10"/>
  <c r="L21" i="10"/>
  <c r="AH21" i="10"/>
  <c r="Z21" i="10"/>
  <c r="R21" i="10"/>
  <c r="J21" i="10"/>
  <c r="N21" i="10"/>
  <c r="X21" i="10"/>
  <c r="F25" i="10"/>
  <c r="P25" i="10"/>
  <c r="J28" i="10"/>
  <c r="AF28" i="10"/>
  <c r="H29" i="10"/>
  <c r="AD29" i="10"/>
  <c r="X32" i="10"/>
  <c r="V33" i="10"/>
  <c r="AD32" i="10"/>
  <c r="V32" i="10"/>
  <c r="N32" i="10"/>
  <c r="F32" i="10"/>
  <c r="AB32" i="10"/>
  <c r="T32" i="10"/>
  <c r="L32" i="10"/>
  <c r="X28" i="10"/>
  <c r="V29" i="10"/>
  <c r="P32" i="10"/>
  <c r="Z32" i="10"/>
  <c r="AB33" i="10"/>
  <c r="T33" i="10"/>
  <c r="L33" i="10"/>
  <c r="AH33" i="10"/>
  <c r="Z33" i="10"/>
  <c r="R33" i="10"/>
  <c r="J33" i="10"/>
  <c r="N33" i="10"/>
  <c r="X33" i="10"/>
  <c r="AD28" i="10"/>
  <c r="V28" i="10"/>
  <c r="N28" i="10"/>
  <c r="F28" i="10"/>
  <c r="AB28" i="10"/>
  <c r="T28" i="10"/>
  <c r="L28" i="10"/>
  <c r="P28" i="10"/>
  <c r="Z28" i="10"/>
  <c r="AB29" i="10"/>
  <c r="T29" i="10"/>
  <c r="L29" i="10"/>
  <c r="AH29" i="10"/>
  <c r="Z29" i="10"/>
  <c r="R29" i="10"/>
  <c r="J29" i="10"/>
  <c r="N29" i="10"/>
  <c r="X29" i="10"/>
  <c r="H32" i="10"/>
  <c r="R32" i="10"/>
  <c r="F33" i="10"/>
  <c r="P33" i="10"/>
  <c r="V21" i="10"/>
  <c r="AF21" i="10"/>
  <c r="AB25" i="10"/>
  <c r="T25" i="10"/>
  <c r="L25" i="10"/>
  <c r="AH25" i="10"/>
  <c r="Z25" i="10"/>
  <c r="R25" i="10"/>
  <c r="J25" i="10"/>
  <c r="N25" i="10"/>
  <c r="X25" i="10"/>
  <c r="H28" i="10"/>
  <c r="R28" i="10"/>
  <c r="F29" i="10"/>
  <c r="P29" i="10"/>
  <c r="J32" i="10"/>
  <c r="AF32" i="10"/>
  <c r="H33" i="10"/>
  <c r="AD33" i="10"/>
  <c r="X4" i="4" l="1"/>
  <c r="X35" i="4" s="1"/>
  <c r="B11" i="12" s="1"/>
  <c r="Z4" i="4"/>
  <c r="Z35" i="4" s="1"/>
  <c r="B12" i="12" s="1"/>
  <c r="D12" i="12" s="1"/>
  <c r="E12" i="12" s="1"/>
  <c r="N35" i="4"/>
  <c r="B7" i="9" s="1"/>
  <c r="D7" i="9" s="1"/>
  <c r="D35" i="10"/>
  <c r="AH4" i="10"/>
  <c r="AH35" i="10" s="1"/>
  <c r="AD4" i="10"/>
  <c r="AD35" i="10" s="1"/>
  <c r="V4" i="10"/>
  <c r="V35" i="10" s="1"/>
  <c r="N4" i="10"/>
  <c r="N35" i="10" s="1"/>
  <c r="F4" i="10"/>
  <c r="F35" i="10" s="1"/>
  <c r="AB4" i="10"/>
  <c r="AB35" i="10" s="1"/>
  <c r="T4" i="10"/>
  <c r="T35" i="10" s="1"/>
  <c r="L4" i="10"/>
  <c r="L35" i="10" s="1"/>
  <c r="Z4" i="10"/>
  <c r="Z35" i="10" s="1"/>
  <c r="R4" i="10"/>
  <c r="R35" i="10" s="1"/>
  <c r="J4" i="10"/>
  <c r="J35" i="10" s="1"/>
  <c r="P4" i="10"/>
  <c r="P35" i="10" s="1"/>
  <c r="X4" i="10"/>
  <c r="X35" i="10" s="1"/>
  <c r="H4" i="10"/>
  <c r="H35" i="10" s="1"/>
  <c r="AF4" i="10"/>
  <c r="AF35" i="10" s="1"/>
  <c r="D35" i="8"/>
  <c r="C2" i="9" s="1"/>
  <c r="AD4" i="8"/>
  <c r="AD35" i="8" s="1"/>
  <c r="V4" i="8"/>
  <c r="V35" i="8" s="1"/>
  <c r="N4" i="8"/>
  <c r="N35" i="8" s="1"/>
  <c r="F4" i="8"/>
  <c r="F35" i="8" s="1"/>
  <c r="AB4" i="8"/>
  <c r="AB35" i="8" s="1"/>
  <c r="T4" i="8"/>
  <c r="T35" i="8" s="1"/>
  <c r="L4" i="8"/>
  <c r="L35" i="8" s="1"/>
  <c r="AH4" i="8"/>
  <c r="AH35" i="8" s="1"/>
  <c r="Z4" i="8"/>
  <c r="Z35" i="8" s="1"/>
  <c r="R4" i="8"/>
  <c r="R35" i="8" s="1"/>
  <c r="J4" i="8"/>
  <c r="J35" i="8" s="1"/>
  <c r="X4" i="8"/>
  <c r="X35" i="8" s="1"/>
  <c r="H4" i="8"/>
  <c r="H35" i="8" s="1"/>
  <c r="AF4" i="8"/>
  <c r="AF35" i="8" s="1"/>
  <c r="P4" i="8"/>
  <c r="P35" i="8" s="1"/>
  <c r="D35" i="4"/>
  <c r="AB4" i="4"/>
  <c r="AB35" i="4" s="1"/>
  <c r="V4" i="4"/>
  <c r="V35" i="4" s="1"/>
  <c r="F4" i="4"/>
  <c r="F35" i="4" s="1"/>
  <c r="B3" i="9" s="1"/>
  <c r="D3" i="9" s="1"/>
  <c r="H4" i="4"/>
  <c r="H35" i="4" s="1"/>
  <c r="B6" i="9" s="1"/>
  <c r="D6" i="9" s="1"/>
  <c r="P4" i="4"/>
  <c r="P35" i="4" s="1"/>
  <c r="AD4" i="4"/>
  <c r="AD35" i="4" s="1"/>
  <c r="L4" i="4"/>
  <c r="L35" i="4" s="1"/>
  <c r="B5" i="9" s="1"/>
  <c r="D5" i="9" s="1"/>
  <c r="T4" i="4"/>
  <c r="T35" i="4" s="1"/>
  <c r="R4" i="4"/>
  <c r="R35" i="4" s="1"/>
  <c r="B8" i="9" s="1"/>
  <c r="D8" i="9" s="1"/>
  <c r="J4" i="4"/>
  <c r="J35" i="4" s="1"/>
  <c r="B4" i="9" s="1"/>
  <c r="D4" i="9" s="1"/>
  <c r="D11" i="12" l="1"/>
  <c r="E11" i="12" s="1"/>
  <c r="B15" i="12"/>
  <c r="C15" i="12"/>
  <c r="B4" i="12"/>
  <c r="B28" i="12" s="1"/>
  <c r="B2" i="9"/>
  <c r="D2" i="9" s="1"/>
  <c r="B16" i="2"/>
  <c r="B24" i="2" s="1"/>
  <c r="X36" i="4"/>
  <c r="B7" i="12"/>
  <c r="L36" i="4"/>
  <c r="H36" i="4"/>
  <c r="B6" i="12"/>
  <c r="J36" i="4"/>
  <c r="B5" i="12"/>
  <c r="F36" i="4"/>
  <c r="B10" i="12"/>
  <c r="N36" i="4"/>
  <c r="B8" i="12"/>
  <c r="R36" i="4"/>
  <c r="B9" i="12"/>
  <c r="T36" i="4"/>
  <c r="B18" i="12" l="1"/>
  <c r="B16" i="12"/>
  <c r="C16" i="12" s="1"/>
  <c r="B17" i="12"/>
  <c r="C17" i="12" s="1"/>
  <c r="B35" i="2" l="1"/>
  <c r="B39" i="2" l="1"/>
  <c r="C6" i="12" s="1"/>
  <c r="C11" i="12"/>
  <c r="C12" i="12"/>
  <c r="C7" i="12" l="1"/>
  <c r="B34" i="2"/>
  <c r="B26" i="2" s="1"/>
  <c r="B28" i="2" s="1"/>
  <c r="B25" i="12"/>
  <c r="B27" i="12" s="1"/>
  <c r="B32" i="12" s="1"/>
  <c r="B41" i="2" l="1"/>
  <c r="C9" i="12" s="1"/>
  <c r="B40" i="2"/>
  <c r="C8" i="12" s="1"/>
  <c r="C5" i="12"/>
  <c r="B42" i="2" l="1"/>
  <c r="C10" i="12" s="1"/>
</calcChain>
</file>

<file path=xl/sharedStrings.xml><?xml version="1.0" encoding="utf-8"?>
<sst xmlns="http://schemas.openxmlformats.org/spreadsheetml/2006/main" count="557" uniqueCount="264">
  <si>
    <t>BESOINS INRAE AVANCÉS - PARAMÈTRES NUTRITIONNISTE</t>
  </si>
  <si>
    <t>Holstein</t>
  </si>
  <si>
    <t>Non</t>
  </si>
  <si>
    <t>2x</t>
  </si>
  <si>
    <t>Race</t>
  </si>
  <si>
    <t>Montbéliarde</t>
  </si>
  <si>
    <t>Faible</t>
  </si>
  <si>
    <t>Modéré</t>
  </si>
  <si>
    <t>3x</t>
  </si>
  <si>
    <t>Normande</t>
  </si>
  <si>
    <t>Robot</t>
  </si>
  <si>
    <t>NEC / BCS (1-5)</t>
  </si>
  <si>
    <t>Jersiaise</t>
  </si>
  <si>
    <t>Fort</t>
  </si>
  <si>
    <t>Numéro lactation</t>
  </si>
  <si>
    <t>DIM (jours en lait)</t>
  </si>
  <si>
    <t>Production lait réelle (L/j)</t>
  </si>
  <si>
    <t>MSI réelle (kg MS/j)</t>
  </si>
  <si>
    <t>Tri ration</t>
  </si>
  <si>
    <t>Gestation</t>
  </si>
  <si>
    <t>Système traite</t>
  </si>
  <si>
    <t>Ratio TB/TP</t>
  </si>
  <si>
    <t>UFL entretien</t>
  </si>
  <si>
    <t>UFL total besoin</t>
  </si>
  <si>
    <t>NDF min kg</t>
  </si>
  <si>
    <t>ADF min kg</t>
  </si>
  <si>
    <t>Amidon max kg</t>
  </si>
  <si>
    <t>Ca besoin g</t>
  </si>
  <si>
    <t>P besoin g</t>
  </si>
  <si>
    <t>Catégorie</t>
  </si>
  <si>
    <t>Sous-catégorie</t>
  </si>
  <si>
    <t>Matière première</t>
  </si>
  <si>
    <t>MS (%)</t>
  </si>
  <si>
    <t>UFL/kg MS</t>
  </si>
  <si>
    <t>UFV/kg MS</t>
  </si>
  <si>
    <t>PDIN</t>
  </si>
  <si>
    <t>PDIE</t>
  </si>
  <si>
    <t>MAT (%)</t>
  </si>
  <si>
    <t>Amidon (%)</t>
  </si>
  <si>
    <t>Sucres (%)</t>
  </si>
  <si>
    <t>NDF (%)</t>
  </si>
  <si>
    <t>ADF (%)</t>
  </si>
  <si>
    <t>MG (%)</t>
  </si>
  <si>
    <t>Na (%)</t>
  </si>
  <si>
    <t>Coût €/t</t>
  </si>
  <si>
    <t>Remarques nutritionnelles</t>
  </si>
  <si>
    <t>Fourrage</t>
  </si>
  <si>
    <t>Ensilage</t>
  </si>
  <si>
    <t>Ensilage maïs</t>
  </si>
  <si>
    <t>Énergie amidon</t>
  </si>
  <si>
    <t>Ensilage herbe</t>
  </si>
  <si>
    <t>Fibre + protéine</t>
  </si>
  <si>
    <t>Foin</t>
  </si>
  <si>
    <t>Foin prairie</t>
  </si>
  <si>
    <t>Base fibre</t>
  </si>
  <si>
    <t>Luzerne foin</t>
  </si>
  <si>
    <t>Calcium + PDI</t>
  </si>
  <si>
    <t>Paille</t>
  </si>
  <si>
    <t>Paille blé</t>
  </si>
  <si>
    <t>Fibre physique</t>
  </si>
  <si>
    <t>Paille riz</t>
  </si>
  <si>
    <t>Très fibreux</t>
  </si>
  <si>
    <t>Pâture</t>
  </si>
  <si>
    <t>Ray-grass pâturé</t>
  </si>
  <si>
    <t>Très digestible</t>
  </si>
  <si>
    <t>Trèfle blanc</t>
  </si>
  <si>
    <t>Protéique</t>
  </si>
  <si>
    <t>Trèfle violet</t>
  </si>
  <si>
    <t>Digestible</t>
  </si>
  <si>
    <t>Céréale</t>
  </si>
  <si>
    <t>Grain</t>
  </si>
  <si>
    <t>Maïs grain</t>
  </si>
  <si>
    <t>Très énergétique</t>
  </si>
  <si>
    <t>Blé</t>
  </si>
  <si>
    <t>Très fermentescible</t>
  </si>
  <si>
    <t>Orge</t>
  </si>
  <si>
    <t>Équilibré</t>
  </si>
  <si>
    <t>Avoine</t>
  </si>
  <si>
    <t>Fibres</t>
  </si>
  <si>
    <t>Sorgho</t>
  </si>
  <si>
    <t>Alternative maïs</t>
  </si>
  <si>
    <t>Flocon</t>
  </si>
  <si>
    <t>Flocons maïs</t>
  </si>
  <si>
    <t>Amidon digestible</t>
  </si>
  <si>
    <t>Flocons orge</t>
  </si>
  <si>
    <t>Rapide</t>
  </si>
  <si>
    <t>Flocons blé</t>
  </si>
  <si>
    <t>Tourteau/Légumineuse</t>
  </si>
  <si>
    <t>Tourteau Soja</t>
  </si>
  <si>
    <t>Apport protéique</t>
  </si>
  <si>
    <t>Tourteau Colza</t>
  </si>
  <si>
    <t>Tourteau Lin</t>
  </si>
  <si>
    <t>Tourteau Tournesol</t>
  </si>
  <si>
    <t>Tourteau Coton</t>
  </si>
  <si>
    <t>Tourteau Palmiste</t>
  </si>
  <si>
    <t>Tourteau Arachide</t>
  </si>
  <si>
    <t>Lupin</t>
  </si>
  <si>
    <t>Pois</t>
  </si>
  <si>
    <t>Féverole</t>
  </si>
  <si>
    <t>Coproduit</t>
  </si>
  <si>
    <t>Fibres/Énergie</t>
  </si>
  <si>
    <t>Pulpe betterave surpressée</t>
  </si>
  <si>
    <t>Coproduit utile</t>
  </si>
  <si>
    <t>Pulpe betterave sèche</t>
  </si>
  <si>
    <t>Drêches brasserie</t>
  </si>
  <si>
    <t>Drêches maïs</t>
  </si>
  <si>
    <t>Son blé</t>
  </si>
  <si>
    <t>Issues blé</t>
  </si>
  <si>
    <t>Corn gluten feed</t>
  </si>
  <si>
    <t>Corn gluten meal</t>
  </si>
  <si>
    <t>Mélasse canne</t>
  </si>
  <si>
    <t>Mélasse betterave</t>
  </si>
  <si>
    <t>Additif</t>
  </si>
  <si>
    <t>Minéral/Fonctionnel</t>
  </si>
  <si>
    <t>Bicarbonate sodium</t>
  </si>
  <si>
    <t>Fonctionnel</t>
  </si>
  <si>
    <t>Carbonate calcium</t>
  </si>
  <si>
    <t>Oxyde magnésium</t>
  </si>
  <si>
    <t>Lithothamne</t>
  </si>
  <si>
    <t>Sel</t>
  </si>
  <si>
    <t>Levures vivantes</t>
  </si>
  <si>
    <t>Levures inactivées</t>
  </si>
  <si>
    <t>Charbon végétal</t>
  </si>
  <si>
    <t>Argiles bentonite</t>
  </si>
  <si>
    <t>Propylène glycol</t>
  </si>
  <si>
    <t>Graisse protégée C16</t>
  </si>
  <si>
    <t>Huile soja</t>
  </si>
  <si>
    <t>Huile colza</t>
  </si>
  <si>
    <t>Matière grasse protégée</t>
  </si>
  <si>
    <t>Urée feed</t>
  </si>
  <si>
    <t>Divers</t>
  </si>
  <si>
    <t>Alternatif</t>
  </si>
  <si>
    <t>Canne fourragère</t>
  </si>
  <si>
    <t>Alternative régionale</t>
  </si>
  <si>
    <t>Foin de brousse</t>
  </si>
  <si>
    <t>Bagasse canne</t>
  </si>
  <si>
    <t>Fanes arachide</t>
  </si>
  <si>
    <t>Fanes pois</t>
  </si>
  <si>
    <t>Fanes patate douce</t>
  </si>
  <si>
    <t>Maïs humide</t>
  </si>
  <si>
    <t>Ensilage sorgho</t>
  </si>
  <si>
    <t>Enrubannage luzerne</t>
  </si>
  <si>
    <t>Foin dactyle</t>
  </si>
  <si>
    <t>Foin fléole</t>
  </si>
  <si>
    <t>Paille orge</t>
  </si>
  <si>
    <t>Paille avoine</t>
  </si>
  <si>
    <t>Coques soja</t>
  </si>
  <si>
    <t>Coques coton</t>
  </si>
  <si>
    <t>Manioc sec</t>
  </si>
  <si>
    <t>Cossettes betterave</t>
  </si>
  <si>
    <t>Drêches distillerie</t>
  </si>
  <si>
    <t>Glycérine végétale</t>
  </si>
  <si>
    <t>Vinasse</t>
  </si>
  <si>
    <t>RATION FORMULATION – LOGIQUE BRUT + APPORTÉ</t>
  </si>
  <si>
    <t>Incorporation kg brut</t>
  </si>
  <si>
    <t>MS brut</t>
  </si>
  <si>
    <t>MS apporté</t>
  </si>
  <si>
    <t>UFL brut</t>
  </si>
  <si>
    <t>UFL apporté</t>
  </si>
  <si>
    <t>MAT brut</t>
  </si>
  <si>
    <t>MAT apporté</t>
  </si>
  <si>
    <t>PDIN brut</t>
  </si>
  <si>
    <t>PDIN apporté</t>
  </si>
  <si>
    <t>PDIE brut</t>
  </si>
  <si>
    <t>PDIE apporté</t>
  </si>
  <si>
    <t>Amidon brut</t>
  </si>
  <si>
    <t>Amidon apporté</t>
  </si>
  <si>
    <t>Sucres brut</t>
  </si>
  <si>
    <t>Sucres apporté</t>
  </si>
  <si>
    <t>NDF brut</t>
  </si>
  <si>
    <t>NDF apporté</t>
  </si>
  <si>
    <t>ADF brut</t>
  </si>
  <si>
    <t>ADF apporté</t>
  </si>
  <si>
    <t>MG brut</t>
  </si>
  <si>
    <t>MG apporté</t>
  </si>
  <si>
    <t>Ca brut</t>
  </si>
  <si>
    <t>Ca apporté</t>
  </si>
  <si>
    <t>P brut</t>
  </si>
  <si>
    <t>P apporté</t>
  </si>
  <si>
    <t>Mg brut</t>
  </si>
  <si>
    <t>Mg apporté</t>
  </si>
  <si>
    <t>Na brut</t>
  </si>
  <si>
    <t>Na apporté</t>
  </si>
  <si>
    <t>K brut</t>
  </si>
  <si>
    <t>K apporté</t>
  </si>
  <si>
    <t>S brut</t>
  </si>
  <si>
    <t>S apporté</t>
  </si>
  <si>
    <t>Coût brut</t>
  </si>
  <si>
    <t>Coût apporté</t>
  </si>
  <si>
    <t>TOTAL / MOYENNES</t>
  </si>
  <si>
    <t>DIAGNOSTIC AVANCÉ - APPORTS vs BESOINS</t>
  </si>
  <si>
    <t>Indicateur</t>
  </si>
  <si>
    <t>Apport ration</t>
  </si>
  <si>
    <t>Besoin</t>
  </si>
  <si>
    <t>Couverture %</t>
  </si>
  <si>
    <t>Diagnostic</t>
  </si>
  <si>
    <t>MS</t>
  </si>
  <si>
    <t>UFL</t>
  </si>
  <si>
    <t>NDF</t>
  </si>
  <si>
    <t>ADF</t>
  </si>
  <si>
    <t>Amidon</t>
  </si>
  <si>
    <t>Ca</t>
  </si>
  <si>
    <t>P</t>
  </si>
  <si>
    <t>Coût</t>
  </si>
  <si>
    <t>Suivi économique</t>
  </si>
  <si>
    <t>Ratio PDIN/PDIE</t>
  </si>
  <si>
    <t>Coût / kg MS</t>
  </si>
  <si>
    <t>Score nutrition /100</t>
  </si>
  <si>
    <t>PILOTAGE TECHNICO-ÉCONOMIQUE</t>
  </si>
  <si>
    <t>Lait théorique énergie (L/j)</t>
  </si>
  <si>
    <t>Lait théorique PDI (L/j)</t>
  </si>
  <si>
    <t>Lait théorique ration (L/j)</t>
  </si>
  <si>
    <t>Couverture production %</t>
  </si>
  <si>
    <t>Efficacité alimentaire (L/kg MS)</t>
  </si>
  <si>
    <t>Coût / litre théorique (€)</t>
  </si>
  <si>
    <t>UFL / litre théorique</t>
  </si>
  <si>
    <t>PDI / litre théorique (g)</t>
  </si>
  <si>
    <t>Interprétation</t>
  </si>
  <si>
    <t>Ration 1</t>
  </si>
  <si>
    <t>Ration 2</t>
  </si>
  <si>
    <t>Écart</t>
  </si>
  <si>
    <t>MS Totale</t>
  </si>
  <si>
    <t>UFL Totales</t>
  </si>
  <si>
    <t>PDIN Total</t>
  </si>
  <si>
    <t>PDIE Total</t>
  </si>
  <si>
    <t>MAT Totale</t>
  </si>
  <si>
    <t>Amidon Total</t>
  </si>
  <si>
    <t>NDF Total</t>
  </si>
  <si>
    <t>Coût ration €/jour</t>
  </si>
  <si>
    <t>Lait théorique énergie</t>
  </si>
  <si>
    <t>Lait théorique protéique</t>
  </si>
  <si>
    <t>Coût alimentaire / litre</t>
  </si>
  <si>
    <t>FORMULATION ALIMENT</t>
  </si>
  <si>
    <t>PDI entretien</t>
  </si>
  <si>
    <t>UFL production</t>
  </si>
  <si>
    <t>PDI production</t>
  </si>
  <si>
    <t>UFL gestation</t>
  </si>
  <si>
    <t>PDI gestation</t>
  </si>
  <si>
    <t>UFL croissance</t>
  </si>
  <si>
    <t>PDI croissance</t>
  </si>
  <si>
    <t>Brune</t>
  </si>
  <si>
    <t>Simmental</t>
  </si>
  <si>
    <t>PDI total besoin</t>
  </si>
  <si>
    <t>Ratio NDF/Amidon</t>
  </si>
  <si>
    <t>5/25/5</t>
  </si>
  <si>
    <t>Ration Ca/P</t>
  </si>
  <si>
    <t>Uréetest</t>
  </si>
  <si>
    <t>Écart MSI cible/réelle</t>
  </si>
  <si>
    <t>Température ambiance</t>
  </si>
  <si>
    <t>Besoins en eau</t>
  </si>
  <si>
    <t>Poids vif moyenne (kg)</t>
  </si>
  <si>
    <t>Poids vif réel (kg)</t>
  </si>
  <si>
    <t>TB estimé</t>
  </si>
  <si>
    <t>TP estimé</t>
  </si>
  <si>
    <t>Pic race</t>
  </si>
  <si>
    <t>Facteur lactation</t>
  </si>
  <si>
    <t>Production lait théorique</t>
  </si>
  <si>
    <t>MSI cible  f(UFL tot)</t>
  </si>
  <si>
    <t>CI théorique   f(poids vif)</t>
  </si>
  <si>
    <t>TB observé</t>
  </si>
  <si>
    <t>TP observé</t>
  </si>
  <si>
    <t>Ca (%)</t>
  </si>
  <si>
    <t>P (%)</t>
  </si>
  <si>
    <t>K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</si>
</sst>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b/>
      <sz val="1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3" borderId="0" xfId="0" applyFont="1" applyFill="1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2" fontId="0" fillId="0" borderId="0" xfId="0" applyNumberFormat="1"/>
    <xf numFmtId="1" fontId="0" fillId="0" borderId="0" xfId="0" applyNumberFormat="1"/>
    <xf numFmtId="0" fontId="0" fillId="5" borderId="0" xfId="0" applyFill="1"/>
    <xf numFmtId="2" fontId="0" fillId="5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balthazar\Downloads\Tableur_Rationnement_Formulation_V12_Besoins.xlsx" TargetMode="External"/><Relationship Id="rId1" Type="http://schemas.openxmlformats.org/officeDocument/2006/relationships/externalLinkPath" Target="file:///C:\Users\ebalthazar\Downloads\Tableur_Rationnement_Formulation_V12_Besoi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bliothèque MP INRA"/>
      <sheetName val="Ration Formulation"/>
      <sheetName val="Diagnostic Avancé"/>
      <sheetName val="Dashboard"/>
      <sheetName val="Ration Formulation 2"/>
      <sheetName val="Comparaison Rations"/>
      <sheetName val="Formulation Aliment"/>
      <sheetName val="Besoins INRAE V12"/>
    </sheetNames>
    <sheetDataSet>
      <sheetData sheetId="0"/>
      <sheetData sheetId="1">
        <row r="35">
          <cell r="AJ35"/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4"/>
  <sheetViews>
    <sheetView zoomScale="62" zoomScaleNormal="70" workbookViewId="0">
      <selection activeCell="C41" sqref="C41"/>
    </sheetView>
  </sheetViews>
  <sheetFormatPr baseColWidth="10" defaultColWidth="8.7265625" defaultRowHeight="14.5" x14ac:dyDescent="0.35"/>
  <cols>
    <col min="1" max="1" width="32" customWidth="1"/>
    <col min="2" max="2" width="18" customWidth="1"/>
    <col min="3" max="3" width="22.7265625" customWidth="1"/>
    <col min="4" max="4" width="9" customWidth="1"/>
    <col min="8" max="8" width="8.7265625" customWidth="1"/>
    <col min="19" max="19" width="12.7265625" customWidth="1"/>
  </cols>
  <sheetData>
    <row r="1" spans="1:32" ht="18.5" x14ac:dyDescent="0.45">
      <c r="A1" s="6" t="s">
        <v>0</v>
      </c>
    </row>
    <row r="2" spans="1:32" x14ac:dyDescent="0.35">
      <c r="S2" t="s">
        <v>1</v>
      </c>
      <c r="T2">
        <v>650</v>
      </c>
      <c r="U2" s="13">
        <v>1</v>
      </c>
      <c r="V2" t="s">
        <v>2</v>
      </c>
      <c r="W2">
        <v>2</v>
      </c>
      <c r="X2">
        <v>10</v>
      </c>
      <c r="Y2" t="s">
        <v>3</v>
      </c>
      <c r="Z2">
        <v>1</v>
      </c>
      <c r="AA2" t="s">
        <v>1</v>
      </c>
      <c r="AB2">
        <v>38.5</v>
      </c>
      <c r="AC2" t="s">
        <v>1</v>
      </c>
      <c r="AD2">
        <v>31.2</v>
      </c>
      <c r="AE2" t="s">
        <v>1</v>
      </c>
      <c r="AF2">
        <v>45</v>
      </c>
    </row>
    <row r="3" spans="1:32" x14ac:dyDescent="0.35">
      <c r="A3" t="s">
        <v>4</v>
      </c>
      <c r="B3" s="14" t="s">
        <v>9</v>
      </c>
      <c r="S3" t="s">
        <v>5</v>
      </c>
      <c r="T3">
        <v>725</v>
      </c>
      <c r="U3" s="13">
        <v>2</v>
      </c>
      <c r="V3" t="s">
        <v>6</v>
      </c>
      <c r="W3">
        <v>3</v>
      </c>
      <c r="X3">
        <v>13</v>
      </c>
      <c r="Y3" t="s">
        <v>8</v>
      </c>
      <c r="Z3">
        <v>2</v>
      </c>
      <c r="AA3" t="s">
        <v>5</v>
      </c>
      <c r="AB3">
        <v>38.4</v>
      </c>
      <c r="AC3" t="s">
        <v>5</v>
      </c>
      <c r="AD3">
        <v>32.700000000000003</v>
      </c>
      <c r="AE3" t="s">
        <v>5</v>
      </c>
      <c r="AF3">
        <v>37</v>
      </c>
    </row>
    <row r="4" spans="1:32" x14ac:dyDescent="0.35">
      <c r="A4" t="s">
        <v>250</v>
      </c>
      <c r="B4">
        <f>IFERROR(VLOOKUP(B3,$S$2:$T$7,2,FALSE),"")</f>
        <v>750</v>
      </c>
      <c r="S4" t="s">
        <v>9</v>
      </c>
      <c r="T4">
        <v>750</v>
      </c>
      <c r="U4" s="13">
        <v>3</v>
      </c>
      <c r="V4" t="s">
        <v>7</v>
      </c>
      <c r="W4">
        <v>4</v>
      </c>
      <c r="X4">
        <v>16</v>
      </c>
      <c r="Y4" t="s">
        <v>10</v>
      </c>
      <c r="Z4">
        <v>3</v>
      </c>
      <c r="AA4" t="s">
        <v>9</v>
      </c>
      <c r="AB4">
        <v>41.6</v>
      </c>
      <c r="AC4" t="s">
        <v>9</v>
      </c>
      <c r="AD4">
        <v>34.200000000000003</v>
      </c>
      <c r="AE4" t="s">
        <v>9</v>
      </c>
      <c r="AF4">
        <v>31</v>
      </c>
    </row>
    <row r="5" spans="1:32" x14ac:dyDescent="0.35">
      <c r="A5" t="s">
        <v>11</v>
      </c>
      <c r="B5" s="14">
        <v>2</v>
      </c>
      <c r="S5" t="s">
        <v>12</v>
      </c>
      <c r="T5">
        <v>430</v>
      </c>
      <c r="U5" s="13">
        <v>4</v>
      </c>
      <c r="V5" t="s">
        <v>13</v>
      </c>
      <c r="W5">
        <v>5</v>
      </c>
      <c r="X5">
        <v>19</v>
      </c>
      <c r="Z5">
        <v>4</v>
      </c>
      <c r="AA5" t="s">
        <v>12</v>
      </c>
      <c r="AB5">
        <v>54.5</v>
      </c>
      <c r="AC5" t="s">
        <v>12</v>
      </c>
      <c r="AD5">
        <v>37.799999999999997</v>
      </c>
      <c r="AE5" t="s">
        <v>12</v>
      </c>
      <c r="AF5">
        <v>27</v>
      </c>
    </row>
    <row r="6" spans="1:32" x14ac:dyDescent="0.35">
      <c r="A6" t="s">
        <v>251</v>
      </c>
      <c r="B6">
        <f>IF(B5=1,B4-80,IF(B5=2,B4-40,IF(B5=3,B4,IF(B5=4,B4+40,IF(B5=5,B4+80)))))</f>
        <v>710</v>
      </c>
      <c r="S6" t="s">
        <v>240</v>
      </c>
      <c r="T6">
        <v>700</v>
      </c>
      <c r="W6">
        <v>6</v>
      </c>
      <c r="X6">
        <v>22</v>
      </c>
      <c r="Z6">
        <v>5</v>
      </c>
      <c r="AA6" t="s">
        <v>240</v>
      </c>
      <c r="AB6">
        <v>41.1</v>
      </c>
      <c r="AC6" t="s">
        <v>240</v>
      </c>
      <c r="AD6">
        <v>33.700000000000003</v>
      </c>
      <c r="AE6" t="s">
        <v>240</v>
      </c>
      <c r="AF6">
        <v>35</v>
      </c>
    </row>
    <row r="7" spans="1:32" x14ac:dyDescent="0.35">
      <c r="A7" t="s">
        <v>252</v>
      </c>
      <c r="B7">
        <f>IFERROR(VLOOKUP(B3,$AA2:$AB7,2,FALSE),"")</f>
        <v>41.6</v>
      </c>
      <c r="S7" t="s">
        <v>241</v>
      </c>
      <c r="T7">
        <v>750</v>
      </c>
      <c r="W7">
        <v>7</v>
      </c>
      <c r="X7">
        <v>25</v>
      </c>
      <c r="AA7" t="s">
        <v>241</v>
      </c>
      <c r="AB7">
        <v>39.799999999999997</v>
      </c>
      <c r="AC7" t="s">
        <v>241</v>
      </c>
      <c r="AD7">
        <v>33.6</v>
      </c>
      <c r="AE7" t="s">
        <v>241</v>
      </c>
      <c r="AF7">
        <v>33</v>
      </c>
    </row>
    <row r="8" spans="1:32" x14ac:dyDescent="0.35">
      <c r="A8" t="s">
        <v>253</v>
      </c>
      <c r="B8">
        <f>IFERROR(VLOOKUP(B3,$AC2:$AD7,2,FALSE),"")</f>
        <v>34.200000000000003</v>
      </c>
      <c r="W8">
        <v>8</v>
      </c>
      <c r="X8">
        <v>28</v>
      </c>
    </row>
    <row r="9" spans="1:32" x14ac:dyDescent="0.35">
      <c r="A9" t="s">
        <v>14</v>
      </c>
      <c r="B9" s="15">
        <v>3</v>
      </c>
      <c r="W9">
        <v>9</v>
      </c>
      <c r="X9">
        <v>31</v>
      </c>
    </row>
    <row r="10" spans="1:32" x14ac:dyDescent="0.35">
      <c r="A10" t="s">
        <v>255</v>
      </c>
      <c r="B10">
        <f>IF(B9=1,0.85,IF(B9=2,0.95,1))</f>
        <v>1</v>
      </c>
      <c r="X10">
        <v>34</v>
      </c>
    </row>
    <row r="11" spans="1:32" x14ac:dyDescent="0.35">
      <c r="A11" t="s">
        <v>254</v>
      </c>
      <c r="B11">
        <f>IFERROR(VLOOKUP(B3,$AE$2:$AF$7,2,FALSE),"")</f>
        <v>31</v>
      </c>
    </row>
    <row r="12" spans="1:32" x14ac:dyDescent="0.35">
      <c r="A12" t="s">
        <v>15</v>
      </c>
      <c r="B12" s="14">
        <v>150</v>
      </c>
    </row>
    <row r="13" spans="1:32" x14ac:dyDescent="0.35">
      <c r="A13" t="s">
        <v>16</v>
      </c>
      <c r="B13" s="14">
        <v>26.6</v>
      </c>
    </row>
    <row r="14" spans="1:32" x14ac:dyDescent="0.35">
      <c r="A14" t="s">
        <v>259</v>
      </c>
      <c r="B14" s="14">
        <v>43.5</v>
      </c>
    </row>
    <row r="15" spans="1:32" x14ac:dyDescent="0.35">
      <c r="A15" t="s">
        <v>260</v>
      </c>
      <c r="B15" s="14">
        <v>33.5</v>
      </c>
    </row>
    <row r="16" spans="1:32" x14ac:dyDescent="0.35">
      <c r="A16" t="s">
        <v>17</v>
      </c>
      <c r="B16">
        <f>'Ration Formulation'!D35</f>
        <v>14.71</v>
      </c>
    </row>
    <row r="17" spans="1:7" x14ac:dyDescent="0.35">
      <c r="A17" t="s">
        <v>18</v>
      </c>
      <c r="B17" s="14" t="s">
        <v>2</v>
      </c>
      <c r="G17">
        <f>IFERROR(VLOOKUP(B3,$AA2:$AB7,2,FALSE),"")</f>
        <v>41.6</v>
      </c>
    </row>
    <row r="18" spans="1:7" x14ac:dyDescent="0.35">
      <c r="A18" t="s">
        <v>19</v>
      </c>
      <c r="B18" s="14">
        <v>4</v>
      </c>
    </row>
    <row r="19" spans="1:7" x14ac:dyDescent="0.35">
      <c r="A19" t="s">
        <v>248</v>
      </c>
      <c r="B19" s="14">
        <v>31</v>
      </c>
      <c r="C19" t="str">
        <f>IF(B21&lt;150,"DEFICIT AZOTE",IF(B21&lt;201,"AZOTE LIMITANTE",IF(B21&lt;=251,"BON EQUILIBRE",IF(B21&lt;=301,"ZONE OPTIMALE",IF(B21&lt;=351,"EXCES LEGER OU MANQUE D'ENERGIE","DESEQUILIBRE MARQUE")))))</f>
        <v>AZOTE LIMITANTE</v>
      </c>
    </row>
    <row r="20" spans="1:7" x14ac:dyDescent="0.35">
      <c r="A20" t="s">
        <v>20</v>
      </c>
      <c r="B20" s="14" t="s">
        <v>3</v>
      </c>
    </row>
    <row r="21" spans="1:7" x14ac:dyDescent="0.35">
      <c r="A21" t="s">
        <v>246</v>
      </c>
      <c r="B21" s="14">
        <v>200</v>
      </c>
    </row>
    <row r="24" spans="1:7" x14ac:dyDescent="0.35">
      <c r="A24" t="s">
        <v>249</v>
      </c>
      <c r="B24">
        <f>IF(B19&lt;15,(4*B16)+(1*B13),IF(B19&lt;25,(4.5*B16)+(1.2*B13),(5.5*B16)+(1.5*B13)))</f>
        <v>120.80500000000001</v>
      </c>
    </row>
    <row r="25" spans="1:7" x14ac:dyDescent="0.35">
      <c r="A25" t="s">
        <v>21</v>
      </c>
      <c r="B25" s="9">
        <f>IFERROR(B14/B15,"")</f>
        <v>1.2985074626865671</v>
      </c>
      <c r="C25" t="str">
        <f>IF(B25&lt;1.1,"ACIDOSE POSSIBLE",IF(B25&lt;1.25,"EQUILIBRE CORRECT",IF(B25&lt;1.4,"VIGILANCE ENERGETIQUE","RISQUE CETOSE")))</f>
        <v>VIGILANCE ENERGETIQUE</v>
      </c>
      <c r="D25" t="str">
        <f>IF(AND(B25&gt;=1.1,B25&lt;=1.25,B21&gt;=150,B21&lt;=300),"RATION EQUILIBRE","CONTRÔLE NECESSAIRE")</f>
        <v>CONTRÔLE NECESSAIRE</v>
      </c>
    </row>
    <row r="26" spans="1:7" x14ac:dyDescent="0.35">
      <c r="A26" t="s">
        <v>257</v>
      </c>
      <c r="B26" s="9">
        <f>B34/0.9</f>
        <v>20.076917415691298</v>
      </c>
    </row>
    <row r="27" spans="1:7" x14ac:dyDescent="0.35">
      <c r="A27" t="s">
        <v>258</v>
      </c>
      <c r="B27" s="9">
        <f>0.028*B6</f>
        <v>19.88</v>
      </c>
    </row>
    <row r="28" spans="1:7" x14ac:dyDescent="0.35">
      <c r="A28" t="s">
        <v>247</v>
      </c>
      <c r="B28" s="9">
        <f>IFERROR(MIN(B26,B27)-B16,"")</f>
        <v>5.1699999999999982</v>
      </c>
    </row>
    <row r="29" spans="1:7" x14ac:dyDescent="0.35">
      <c r="A29" t="s">
        <v>256</v>
      </c>
      <c r="B29" s="9">
        <f>B11*B10*(B12^0.18*EXP(-0.0032*B12))/((60^0.18)*EXP(-0.0032*60))*(1-ABS(B5-3)*0.03)*IF(B18&lt;5,1,1-0.015*(B18-4))</f>
        <v>26.588009107945638</v>
      </c>
    </row>
    <row r="30" spans="1:7" x14ac:dyDescent="0.35">
      <c r="A30" t="s">
        <v>22</v>
      </c>
      <c r="B30" s="9">
        <f>0.041*B6^0.75</f>
        <v>5.6393314161575825</v>
      </c>
    </row>
    <row r="31" spans="1:7" x14ac:dyDescent="0.35">
      <c r="A31" t="s">
        <v>234</v>
      </c>
      <c r="B31" s="9">
        <f>B29*(0.44+0.0055*(B14-40)+0.0033*(B15-31))</f>
        <v>12.429894257964586</v>
      </c>
    </row>
    <row r="32" spans="1:7" x14ac:dyDescent="0.35">
      <c r="A32" t="s">
        <v>236</v>
      </c>
      <c r="B32" s="9">
        <f>IF(B18&lt;7,0,IF(B18=7,0.3,IF(B18=8,0.6,0.9)))</f>
        <v>0</v>
      </c>
    </row>
    <row r="33" spans="1:2" x14ac:dyDescent="0.35">
      <c r="A33" t="s">
        <v>238</v>
      </c>
      <c r="B33" s="9">
        <f>IF(OR(B9="1",B9=1),0.4,0)</f>
        <v>0</v>
      </c>
    </row>
    <row r="34" spans="1:2" x14ac:dyDescent="0.35">
      <c r="A34" s="10" t="s">
        <v>23</v>
      </c>
      <c r="B34" s="11">
        <f>B30+B31+B32+B33</f>
        <v>18.069225674122169</v>
      </c>
    </row>
    <row r="35" spans="1:2" x14ac:dyDescent="0.35">
      <c r="A35" t="s">
        <v>233</v>
      </c>
      <c r="B35" s="9">
        <f>3*(B6^0.75)</f>
        <v>412.63400606031092</v>
      </c>
    </row>
    <row r="36" spans="1:2" x14ac:dyDescent="0.35">
      <c r="A36" t="s">
        <v>235</v>
      </c>
      <c r="B36" s="9">
        <f>1.92*B8*B29</f>
        <v>1745.8750300641425</v>
      </c>
    </row>
    <row r="37" spans="1:2" x14ac:dyDescent="0.35">
      <c r="A37" t="s">
        <v>237</v>
      </c>
      <c r="B37" s="9">
        <f>IF(B18&lt;7,0,IF(B18=7,60,IF(B18=8,120,180)))</f>
        <v>0</v>
      </c>
    </row>
    <row r="38" spans="1:2" x14ac:dyDescent="0.35">
      <c r="A38" t="s">
        <v>239</v>
      </c>
      <c r="B38" s="9">
        <f>IF(OR(B9="1",B9=1),150,0)</f>
        <v>0</v>
      </c>
    </row>
    <row r="39" spans="1:2" x14ac:dyDescent="0.35">
      <c r="A39" s="10" t="s">
        <v>242</v>
      </c>
      <c r="B39" s="11">
        <f>SUM(B35:B38)</f>
        <v>2158.5090361244534</v>
      </c>
    </row>
    <row r="40" spans="1:2" x14ac:dyDescent="0.35">
      <c r="A40" t="s">
        <v>24</v>
      </c>
      <c r="B40" s="9">
        <f>IF(B29&gt;35,0.3*B26,IF(B29&gt;25,0.32*B26,0.35*B26))</f>
        <v>6.4246135730212153</v>
      </c>
    </row>
    <row r="41" spans="1:2" x14ac:dyDescent="0.35">
      <c r="A41" t="s">
        <v>25</v>
      </c>
      <c r="B41" s="9">
        <f>IF(B13&gt;35,0.18*B26,IF(B13&gt;25,0.2*B26,0.22*B26))</f>
        <v>4.01538348313826</v>
      </c>
    </row>
    <row r="42" spans="1:2" x14ac:dyDescent="0.35">
      <c r="A42" t="s">
        <v>26</v>
      </c>
      <c r="B42" s="9">
        <f>B40/1.3</f>
        <v>4.9420104407855501</v>
      </c>
    </row>
    <row r="43" spans="1:2" x14ac:dyDescent="0.35">
      <c r="A43" t="s">
        <v>27</v>
      </c>
      <c r="B43">
        <f>((B29*1.2)/0.38)+(0.035*B6)</f>
        <v>108.8121340250915</v>
      </c>
    </row>
    <row r="44" spans="1:2" x14ac:dyDescent="0.35">
      <c r="A44" t="s">
        <v>28</v>
      </c>
      <c r="B44">
        <f>((B29*0.95)/0.7)+(0.02*B6)</f>
        <v>50.283726646497655</v>
      </c>
    </row>
  </sheetData>
  <dataValidations count="8">
    <dataValidation type="list" sqref="B9" xr:uid="{00000000-0002-0000-0100-000001000000}">
      <formula1>$U$2:$U$5</formula1>
    </dataValidation>
    <dataValidation type="list" sqref="B17" xr:uid="{00000000-0002-0000-0100-000002000000}">
      <formula1>$V$2:$V$5</formula1>
    </dataValidation>
    <dataValidation type="list" sqref="B20" xr:uid="{00000000-0002-0000-0100-000005000000}">
      <formula1>$Y$2:$Y$4</formula1>
    </dataValidation>
    <dataValidation type="list" sqref="B18" xr:uid="{00000000-0002-0000-0100-000003000000}">
      <formula1>$W$2:$W$9</formula1>
    </dataValidation>
    <dataValidation type="list" sqref="B3" xr:uid="{00000000-0002-0000-0100-000000000000}">
      <formula1>$S$2:$S$7</formula1>
    </dataValidation>
    <dataValidation type="list" allowBlank="1" showInputMessage="1" showErrorMessage="1" sqref="B5" xr:uid="{C60AF884-68E5-403D-B69F-1623CB68EB21}">
      <formula1>$Z$2:$Z$6</formula1>
    </dataValidation>
    <dataValidation sqref="B11 B10" xr:uid="{AF7D82C0-69B7-4864-9C83-96817F40357D}"/>
    <dataValidation type="list" sqref="B19" xr:uid="{00000000-0002-0000-0100-000004000000}">
      <formula1>$X$2:$X$10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4"/>
  <sheetViews>
    <sheetView tabSelected="1" workbookViewId="0">
      <pane xSplit="3" ySplit="1" topLeftCell="M2" activePane="bottomRight" state="frozen"/>
      <selection pane="topRight" activeCell="D1" sqref="D1"/>
      <selection pane="bottomLeft" activeCell="A2" sqref="A2"/>
      <selection pane="bottomRight" activeCell="Q1" sqref="Q1"/>
    </sheetView>
  </sheetViews>
  <sheetFormatPr baseColWidth="10" defaultColWidth="8.7265625" defaultRowHeight="14.5" x14ac:dyDescent="0.35"/>
  <cols>
    <col min="1" max="3" width="18" customWidth="1"/>
    <col min="4" max="4" width="20" customWidth="1"/>
    <col min="5" max="20" width="18" customWidth="1"/>
  </cols>
  <sheetData>
    <row r="1" spans="1:20" x14ac:dyDescent="0.3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261</v>
      </c>
      <c r="P1" s="1" t="s">
        <v>262</v>
      </c>
      <c r="Q1" s="1" t="s">
        <v>263</v>
      </c>
      <c r="R1" s="1" t="s">
        <v>43</v>
      </c>
      <c r="S1" s="1" t="s">
        <v>44</v>
      </c>
      <c r="T1" s="1" t="s">
        <v>45</v>
      </c>
    </row>
    <row r="2" spans="1:20" x14ac:dyDescent="0.35">
      <c r="A2" s="2" t="s">
        <v>46</v>
      </c>
      <c r="B2" s="2" t="s">
        <v>47</v>
      </c>
      <c r="C2" s="2" t="s">
        <v>48</v>
      </c>
      <c r="D2" s="2">
        <v>33</v>
      </c>
      <c r="E2" s="2">
        <v>0.92</v>
      </c>
      <c r="F2" s="2">
        <v>0.88</v>
      </c>
      <c r="G2" s="2">
        <v>62</v>
      </c>
      <c r="H2" s="2">
        <v>90</v>
      </c>
      <c r="I2" s="2">
        <v>8</v>
      </c>
      <c r="J2" s="2">
        <v>32</v>
      </c>
      <c r="K2" s="2">
        <v>3</v>
      </c>
      <c r="L2" s="2">
        <v>42</v>
      </c>
      <c r="M2" s="2">
        <v>24</v>
      </c>
      <c r="N2" s="2">
        <v>3</v>
      </c>
      <c r="O2" s="2">
        <v>0.25</v>
      </c>
      <c r="P2" s="2">
        <v>0.22</v>
      </c>
      <c r="Q2" s="2">
        <v>1.1000000000000001</v>
      </c>
      <c r="R2" s="2">
        <v>0.02</v>
      </c>
      <c r="S2" s="2"/>
      <c r="T2" s="2" t="s">
        <v>49</v>
      </c>
    </row>
    <row r="3" spans="1:20" x14ac:dyDescent="0.35">
      <c r="A3" s="2" t="s">
        <v>46</v>
      </c>
      <c r="B3" s="2" t="s">
        <v>47</v>
      </c>
      <c r="C3" s="2" t="s">
        <v>50</v>
      </c>
      <c r="D3" s="2">
        <v>35</v>
      </c>
      <c r="E3" s="2">
        <v>0.85</v>
      </c>
      <c r="F3" s="2">
        <v>0.8</v>
      </c>
      <c r="G3" s="2">
        <v>85</v>
      </c>
      <c r="H3" s="2">
        <v>78</v>
      </c>
      <c r="I3" s="2">
        <v>15</v>
      </c>
      <c r="J3" s="2">
        <v>4</v>
      </c>
      <c r="K3" s="2">
        <v>6</v>
      </c>
      <c r="L3" s="2">
        <v>48</v>
      </c>
      <c r="M3" s="2">
        <v>30</v>
      </c>
      <c r="N3" s="2">
        <v>4</v>
      </c>
      <c r="O3" s="2">
        <v>0.65</v>
      </c>
      <c r="P3" s="2">
        <v>0.3</v>
      </c>
      <c r="Q3" s="2">
        <v>2.2000000000000002</v>
      </c>
      <c r="R3" s="2">
        <v>0.04</v>
      </c>
      <c r="S3" s="2"/>
      <c r="T3" s="2" t="s">
        <v>51</v>
      </c>
    </row>
    <row r="4" spans="1:20" x14ac:dyDescent="0.35">
      <c r="A4" s="2" t="s">
        <v>46</v>
      </c>
      <c r="B4" s="2" t="s">
        <v>52</v>
      </c>
      <c r="C4" s="2" t="s">
        <v>53</v>
      </c>
      <c r="D4" s="2">
        <v>86</v>
      </c>
      <c r="E4" s="2">
        <v>0.7</v>
      </c>
      <c r="F4" s="2">
        <v>0.65</v>
      </c>
      <c r="G4" s="2">
        <v>70</v>
      </c>
      <c r="H4" s="2">
        <v>72</v>
      </c>
      <c r="I4" s="2">
        <v>12</v>
      </c>
      <c r="J4" s="2">
        <v>2</v>
      </c>
      <c r="K4" s="2">
        <v>8</v>
      </c>
      <c r="L4" s="2">
        <v>58</v>
      </c>
      <c r="M4" s="2">
        <v>35</v>
      </c>
      <c r="N4" s="2">
        <v>2</v>
      </c>
      <c r="O4" s="2">
        <v>0.55000000000000004</v>
      </c>
      <c r="P4" s="2">
        <v>0.25</v>
      </c>
      <c r="Q4" s="2">
        <v>1.8</v>
      </c>
      <c r="R4" s="2">
        <v>0.03</v>
      </c>
      <c r="S4" s="2"/>
      <c r="T4" s="2" t="s">
        <v>54</v>
      </c>
    </row>
    <row r="5" spans="1:20" x14ac:dyDescent="0.35">
      <c r="A5" s="2" t="s">
        <v>46</v>
      </c>
      <c r="B5" s="2" t="s">
        <v>52</v>
      </c>
      <c r="C5" s="2" t="s">
        <v>55</v>
      </c>
      <c r="D5" s="2">
        <v>88</v>
      </c>
      <c r="E5" s="2">
        <v>0.78</v>
      </c>
      <c r="F5" s="2">
        <v>0.72</v>
      </c>
      <c r="G5" s="2">
        <v>120</v>
      </c>
      <c r="H5" s="2">
        <v>95</v>
      </c>
      <c r="I5" s="2">
        <v>18</v>
      </c>
      <c r="J5" s="2">
        <v>3</v>
      </c>
      <c r="K5" s="2">
        <v>7</v>
      </c>
      <c r="L5" s="2">
        <v>42</v>
      </c>
      <c r="M5" s="2">
        <v>30</v>
      </c>
      <c r="N5" s="2">
        <v>2.5</v>
      </c>
      <c r="O5" s="2">
        <v>1.3</v>
      </c>
      <c r="P5" s="2">
        <v>0.25</v>
      </c>
      <c r="Q5" s="2">
        <v>2</v>
      </c>
      <c r="R5" s="2">
        <v>0.03</v>
      </c>
      <c r="S5" s="2"/>
      <c r="T5" s="2" t="s">
        <v>56</v>
      </c>
    </row>
    <row r="6" spans="1:20" x14ac:dyDescent="0.35">
      <c r="A6" s="2" t="s">
        <v>46</v>
      </c>
      <c r="B6" s="2" t="s">
        <v>57</v>
      </c>
      <c r="C6" s="2" t="s">
        <v>58</v>
      </c>
      <c r="D6" s="2">
        <v>90</v>
      </c>
      <c r="E6" s="2">
        <v>0.38</v>
      </c>
      <c r="F6" s="2">
        <v>0.32</v>
      </c>
      <c r="G6" s="2">
        <v>22</v>
      </c>
      <c r="H6" s="2">
        <v>28</v>
      </c>
      <c r="I6" s="2">
        <v>4</v>
      </c>
      <c r="J6" s="2">
        <v>0</v>
      </c>
      <c r="K6" s="2">
        <v>1</v>
      </c>
      <c r="L6" s="2">
        <v>75</v>
      </c>
      <c r="M6" s="2">
        <v>50</v>
      </c>
      <c r="N6" s="2">
        <v>1.3</v>
      </c>
      <c r="O6" s="2">
        <v>0.18</v>
      </c>
      <c r="P6" s="2">
        <v>0.1</v>
      </c>
      <c r="Q6" s="2">
        <v>1.2</v>
      </c>
      <c r="R6" s="2">
        <v>0.02</v>
      </c>
      <c r="S6" s="2"/>
      <c r="T6" s="2" t="s">
        <v>59</v>
      </c>
    </row>
    <row r="7" spans="1:20" x14ac:dyDescent="0.35">
      <c r="A7" s="2" t="s">
        <v>46</v>
      </c>
      <c r="B7" s="2" t="s">
        <v>57</v>
      </c>
      <c r="C7" s="2" t="s">
        <v>60</v>
      </c>
      <c r="D7" s="2">
        <v>90</v>
      </c>
      <c r="E7" s="2">
        <v>0.35</v>
      </c>
      <c r="F7" s="2">
        <v>0.3</v>
      </c>
      <c r="G7" s="2">
        <v>20</v>
      </c>
      <c r="H7" s="2">
        <v>25</v>
      </c>
      <c r="I7" s="2">
        <v>4</v>
      </c>
      <c r="J7" s="2">
        <v>0</v>
      </c>
      <c r="K7" s="2">
        <v>1</v>
      </c>
      <c r="L7" s="2">
        <v>72</v>
      </c>
      <c r="M7" s="2">
        <v>48</v>
      </c>
      <c r="N7" s="2">
        <v>1.2</v>
      </c>
      <c r="O7" s="2">
        <v>0.2</v>
      </c>
      <c r="P7" s="2">
        <v>0.08</v>
      </c>
      <c r="Q7" s="2">
        <v>1.1000000000000001</v>
      </c>
      <c r="R7" s="2">
        <v>0.02</v>
      </c>
      <c r="S7" s="2"/>
      <c r="T7" s="2" t="s">
        <v>61</v>
      </c>
    </row>
    <row r="8" spans="1:20" x14ac:dyDescent="0.35">
      <c r="A8" s="2" t="s">
        <v>46</v>
      </c>
      <c r="B8" s="2" t="s">
        <v>62</v>
      </c>
      <c r="C8" s="2" t="s">
        <v>63</v>
      </c>
      <c r="D8" s="2">
        <v>18</v>
      </c>
      <c r="E8" s="2">
        <v>0.98</v>
      </c>
      <c r="F8" s="2">
        <v>0.92</v>
      </c>
      <c r="G8" s="2">
        <v>145</v>
      </c>
      <c r="H8" s="2">
        <v>110</v>
      </c>
      <c r="I8" s="2">
        <v>22</v>
      </c>
      <c r="J8" s="2">
        <v>3</v>
      </c>
      <c r="K8" s="2">
        <v>12</v>
      </c>
      <c r="L8" s="2">
        <v>38</v>
      </c>
      <c r="M8" s="2">
        <v>24</v>
      </c>
      <c r="N8" s="2">
        <v>4</v>
      </c>
      <c r="O8" s="2">
        <v>0.8</v>
      </c>
      <c r="P8" s="2">
        <v>0.4</v>
      </c>
      <c r="Q8" s="2">
        <v>3</v>
      </c>
      <c r="R8" s="2">
        <v>0.05</v>
      </c>
      <c r="S8" s="2"/>
      <c r="T8" s="2" t="s">
        <v>64</v>
      </c>
    </row>
    <row r="9" spans="1:20" x14ac:dyDescent="0.35">
      <c r="A9" s="2" t="s">
        <v>46</v>
      </c>
      <c r="B9" s="2" t="s">
        <v>62</v>
      </c>
      <c r="C9" s="2" t="s">
        <v>65</v>
      </c>
      <c r="D9" s="2">
        <v>20</v>
      </c>
      <c r="E9" s="2">
        <v>0.95</v>
      </c>
      <c r="F9" s="2">
        <v>0.9</v>
      </c>
      <c r="G9" s="2">
        <v>135</v>
      </c>
      <c r="H9" s="2">
        <v>110</v>
      </c>
      <c r="I9" s="2">
        <v>22</v>
      </c>
      <c r="J9" s="2">
        <v>2</v>
      </c>
      <c r="K9" s="2">
        <v>10</v>
      </c>
      <c r="L9" s="2">
        <v>35</v>
      </c>
      <c r="M9" s="2">
        <v>24</v>
      </c>
      <c r="N9" s="2">
        <v>4</v>
      </c>
      <c r="O9" s="2">
        <v>1.2</v>
      </c>
      <c r="P9" s="2">
        <v>0.35</v>
      </c>
      <c r="Q9" s="2">
        <v>2.8</v>
      </c>
      <c r="R9" s="2">
        <v>0.04</v>
      </c>
      <c r="S9" s="2"/>
      <c r="T9" s="2" t="s">
        <v>66</v>
      </c>
    </row>
    <row r="10" spans="1:20" x14ac:dyDescent="0.35">
      <c r="A10" s="2" t="s">
        <v>46</v>
      </c>
      <c r="B10" s="2" t="s">
        <v>62</v>
      </c>
      <c r="C10" s="2" t="s">
        <v>67</v>
      </c>
      <c r="D10" s="2">
        <v>18</v>
      </c>
      <c r="E10" s="2">
        <v>0.9</v>
      </c>
      <c r="F10" s="2">
        <v>0.84</v>
      </c>
      <c r="G10" s="2">
        <v>125</v>
      </c>
      <c r="H10" s="2">
        <v>100</v>
      </c>
      <c r="I10" s="2">
        <v>20</v>
      </c>
      <c r="J10" s="2">
        <v>2</v>
      </c>
      <c r="K10" s="2">
        <v>9</v>
      </c>
      <c r="L10" s="2">
        <v>40</v>
      </c>
      <c r="M10" s="2">
        <v>26</v>
      </c>
      <c r="N10" s="2">
        <v>3.5</v>
      </c>
      <c r="O10" s="2">
        <v>1.1000000000000001</v>
      </c>
      <c r="P10" s="2">
        <v>0.3</v>
      </c>
      <c r="Q10" s="2">
        <v>2.6</v>
      </c>
      <c r="R10" s="2">
        <v>0.04</v>
      </c>
      <c r="S10" s="2"/>
      <c r="T10" s="2" t="s">
        <v>68</v>
      </c>
    </row>
    <row r="11" spans="1:20" x14ac:dyDescent="0.35">
      <c r="A11" s="2" t="s">
        <v>69</v>
      </c>
      <c r="B11" s="2" t="s">
        <v>70</v>
      </c>
      <c r="C11" s="2" t="s">
        <v>71</v>
      </c>
      <c r="D11" s="2">
        <v>87</v>
      </c>
      <c r="E11" s="2">
        <v>1.18</v>
      </c>
      <c r="F11" s="2">
        <v>1.1399999999999999</v>
      </c>
      <c r="G11" s="2">
        <v>65</v>
      </c>
      <c r="H11" s="2">
        <v>95</v>
      </c>
      <c r="I11" s="2">
        <v>9</v>
      </c>
      <c r="J11" s="2">
        <v>70</v>
      </c>
      <c r="K11" s="2">
        <v>2</v>
      </c>
      <c r="L11" s="2">
        <v>12</v>
      </c>
      <c r="M11" s="2">
        <v>4</v>
      </c>
      <c r="N11" s="2">
        <v>4</v>
      </c>
      <c r="O11" s="2">
        <v>0.03</v>
      </c>
      <c r="P11" s="2">
        <v>0.28000000000000003</v>
      </c>
      <c r="Q11" s="2">
        <v>0.4</v>
      </c>
      <c r="R11" s="2">
        <v>0.02</v>
      </c>
      <c r="S11" s="2"/>
      <c r="T11" s="2" t="s">
        <v>72</v>
      </c>
    </row>
    <row r="12" spans="1:20" x14ac:dyDescent="0.35">
      <c r="A12" s="2" t="s">
        <v>69</v>
      </c>
      <c r="B12" s="2" t="s">
        <v>70</v>
      </c>
      <c r="C12" s="2" t="s">
        <v>73</v>
      </c>
      <c r="D12" s="2">
        <v>88</v>
      </c>
      <c r="E12" s="2">
        <v>1.2</v>
      </c>
      <c r="F12" s="2">
        <v>1.1499999999999999</v>
      </c>
      <c r="G12" s="2">
        <v>85</v>
      </c>
      <c r="H12" s="2">
        <v>110</v>
      </c>
      <c r="I12" s="2">
        <v>13</v>
      </c>
      <c r="J12" s="2">
        <v>62</v>
      </c>
      <c r="K12" s="2">
        <v>3</v>
      </c>
      <c r="L12" s="2">
        <v>14</v>
      </c>
      <c r="M12" s="2">
        <v>4</v>
      </c>
      <c r="N12" s="2">
        <v>2</v>
      </c>
      <c r="O12" s="2">
        <v>0.05</v>
      </c>
      <c r="P12" s="2">
        <v>0.35</v>
      </c>
      <c r="Q12" s="2">
        <v>0.5</v>
      </c>
      <c r="R12" s="2">
        <v>0.02</v>
      </c>
      <c r="S12" s="2"/>
      <c r="T12" s="2" t="s">
        <v>74</v>
      </c>
    </row>
    <row r="13" spans="1:20" x14ac:dyDescent="0.35">
      <c r="A13" s="2" t="s">
        <v>69</v>
      </c>
      <c r="B13" s="2" t="s">
        <v>70</v>
      </c>
      <c r="C13" s="2" t="s">
        <v>75</v>
      </c>
      <c r="D13" s="2">
        <v>87</v>
      </c>
      <c r="E13" s="2">
        <v>1.1000000000000001</v>
      </c>
      <c r="F13" s="2">
        <v>1.05</v>
      </c>
      <c r="G13" s="2">
        <v>90</v>
      </c>
      <c r="H13" s="2">
        <v>105</v>
      </c>
      <c r="I13" s="2">
        <v>11</v>
      </c>
      <c r="J13" s="2">
        <v>58</v>
      </c>
      <c r="K13" s="2">
        <v>3</v>
      </c>
      <c r="L13" s="2">
        <v>18</v>
      </c>
      <c r="M13" s="2">
        <v>6</v>
      </c>
      <c r="N13" s="2">
        <v>2.5</v>
      </c>
      <c r="O13" s="2">
        <v>0.06</v>
      </c>
      <c r="P13" s="2">
        <v>0.38</v>
      </c>
      <c r="Q13" s="2">
        <v>0.5</v>
      </c>
      <c r="R13" s="2">
        <v>0.02</v>
      </c>
      <c r="S13" s="2"/>
      <c r="T13" s="2" t="s">
        <v>76</v>
      </c>
    </row>
    <row r="14" spans="1:20" x14ac:dyDescent="0.35">
      <c r="A14" s="2" t="s">
        <v>69</v>
      </c>
      <c r="B14" s="2" t="s">
        <v>70</v>
      </c>
      <c r="C14" s="2" t="s">
        <v>77</v>
      </c>
      <c r="D14" s="2">
        <v>88</v>
      </c>
      <c r="E14" s="2">
        <v>0.95</v>
      </c>
      <c r="F14" s="2">
        <v>0.9</v>
      </c>
      <c r="G14" s="2">
        <v>85</v>
      </c>
      <c r="H14" s="2">
        <v>92</v>
      </c>
      <c r="I14" s="2">
        <v>12</v>
      </c>
      <c r="J14" s="2">
        <v>45</v>
      </c>
      <c r="K14" s="2">
        <v>2</v>
      </c>
      <c r="L14" s="2">
        <v>28</v>
      </c>
      <c r="M14" s="2">
        <v>12</v>
      </c>
      <c r="N14" s="2">
        <v>5</v>
      </c>
      <c r="O14" s="2">
        <v>0.08</v>
      </c>
      <c r="P14" s="2">
        <v>0.35</v>
      </c>
      <c r="Q14" s="2">
        <v>0.5</v>
      </c>
      <c r="R14" s="2">
        <v>0.02</v>
      </c>
      <c r="S14" s="2"/>
      <c r="T14" s="2" t="s">
        <v>78</v>
      </c>
    </row>
    <row r="15" spans="1:20" x14ac:dyDescent="0.35">
      <c r="A15" s="2" t="s">
        <v>69</v>
      </c>
      <c r="B15" s="2" t="s">
        <v>70</v>
      </c>
      <c r="C15" s="2" t="s">
        <v>79</v>
      </c>
      <c r="D15" s="2">
        <v>88</v>
      </c>
      <c r="E15" s="2">
        <v>1.08</v>
      </c>
      <c r="F15" s="2">
        <v>1.03</v>
      </c>
      <c r="G15" s="2">
        <v>70</v>
      </c>
      <c r="H15" s="2">
        <v>88</v>
      </c>
      <c r="I15" s="2">
        <v>10</v>
      </c>
      <c r="J15" s="2">
        <v>68</v>
      </c>
      <c r="K15" s="2">
        <v>2</v>
      </c>
      <c r="L15" s="2">
        <v>13</v>
      </c>
      <c r="M15" s="2">
        <v>5</v>
      </c>
      <c r="N15" s="2">
        <v>3</v>
      </c>
      <c r="O15" s="2">
        <v>0.04</v>
      </c>
      <c r="P15" s="2">
        <v>0.3</v>
      </c>
      <c r="Q15" s="2">
        <v>0.4</v>
      </c>
      <c r="R15" s="2">
        <v>0.02</v>
      </c>
      <c r="S15" s="2"/>
      <c r="T15" s="2" t="s">
        <v>80</v>
      </c>
    </row>
    <row r="16" spans="1:20" x14ac:dyDescent="0.35">
      <c r="A16" s="2" t="s">
        <v>69</v>
      </c>
      <c r="B16" s="2" t="s">
        <v>81</v>
      </c>
      <c r="C16" s="2" t="s">
        <v>82</v>
      </c>
      <c r="D16" s="2">
        <v>88</v>
      </c>
      <c r="E16" s="2">
        <v>1.22</v>
      </c>
      <c r="F16" s="2">
        <v>1.17</v>
      </c>
      <c r="G16" s="2">
        <v>68</v>
      </c>
      <c r="H16" s="2">
        <v>98</v>
      </c>
      <c r="I16" s="2">
        <v>9</v>
      </c>
      <c r="J16" s="2">
        <v>72</v>
      </c>
      <c r="K16" s="2">
        <v>2</v>
      </c>
      <c r="L16" s="2">
        <v>10</v>
      </c>
      <c r="M16" s="2">
        <v>4</v>
      </c>
      <c r="N16" s="2">
        <v>4.2</v>
      </c>
      <c r="O16" s="2">
        <v>0.03</v>
      </c>
      <c r="P16" s="2">
        <v>0.28000000000000003</v>
      </c>
      <c r="Q16" s="2">
        <v>0.4</v>
      </c>
      <c r="R16" s="2">
        <v>0.02</v>
      </c>
      <c r="S16" s="2"/>
      <c r="T16" s="2" t="s">
        <v>83</v>
      </c>
    </row>
    <row r="17" spans="1:20" x14ac:dyDescent="0.35">
      <c r="A17" s="2" t="s">
        <v>69</v>
      </c>
      <c r="B17" s="2" t="s">
        <v>81</v>
      </c>
      <c r="C17" s="2" t="s">
        <v>84</v>
      </c>
      <c r="D17" s="2">
        <v>88</v>
      </c>
      <c r="E17" s="2">
        <v>1.1399999999999999</v>
      </c>
      <c r="F17" s="2">
        <v>1.08</v>
      </c>
      <c r="G17" s="2">
        <v>92</v>
      </c>
      <c r="H17" s="2">
        <v>108</v>
      </c>
      <c r="I17" s="2">
        <v>11</v>
      </c>
      <c r="J17" s="2">
        <v>60</v>
      </c>
      <c r="K17" s="2">
        <v>3</v>
      </c>
      <c r="L17" s="2">
        <v>16</v>
      </c>
      <c r="M17" s="2">
        <v>6</v>
      </c>
      <c r="N17" s="2">
        <v>2.8</v>
      </c>
      <c r="O17" s="2">
        <v>0.06</v>
      </c>
      <c r="P17" s="2">
        <v>0.38</v>
      </c>
      <c r="Q17" s="2">
        <v>0.5</v>
      </c>
      <c r="R17" s="2">
        <v>0.02</v>
      </c>
      <c r="S17" s="2"/>
      <c r="T17" s="2" t="s">
        <v>85</v>
      </c>
    </row>
    <row r="18" spans="1:20" x14ac:dyDescent="0.35">
      <c r="A18" s="2" t="s">
        <v>69</v>
      </c>
      <c r="B18" s="2" t="s">
        <v>81</v>
      </c>
      <c r="C18" s="2" t="s">
        <v>86</v>
      </c>
      <c r="D18" s="2">
        <v>88</v>
      </c>
      <c r="E18" s="2">
        <v>1.24</v>
      </c>
      <c r="F18" s="2">
        <v>1.18</v>
      </c>
      <c r="G18" s="2">
        <v>88</v>
      </c>
      <c r="H18" s="2">
        <v>112</v>
      </c>
      <c r="I18" s="2">
        <v>13</v>
      </c>
      <c r="J18" s="2">
        <v>64</v>
      </c>
      <c r="K18" s="2">
        <v>3</v>
      </c>
      <c r="L18" s="2">
        <v>12</v>
      </c>
      <c r="M18" s="2">
        <v>4</v>
      </c>
      <c r="N18" s="2">
        <v>2</v>
      </c>
      <c r="O18" s="2">
        <v>0.05</v>
      </c>
      <c r="P18" s="2">
        <v>0.35</v>
      </c>
      <c r="Q18" s="2">
        <v>0.5</v>
      </c>
      <c r="R18" s="2">
        <v>0.02</v>
      </c>
      <c r="S18" s="2"/>
      <c r="T18" s="2" t="s">
        <v>74</v>
      </c>
    </row>
    <row r="19" spans="1:20" x14ac:dyDescent="0.35">
      <c r="A19" s="2" t="s">
        <v>66</v>
      </c>
      <c r="B19" s="2" t="s">
        <v>87</v>
      </c>
      <c r="C19" s="2" t="s">
        <v>88</v>
      </c>
      <c r="D19" s="2">
        <v>89</v>
      </c>
      <c r="E19" s="2">
        <v>1</v>
      </c>
      <c r="F19" s="2">
        <v>0.95</v>
      </c>
      <c r="G19" s="2">
        <v>120</v>
      </c>
      <c r="H19" s="2">
        <v>105</v>
      </c>
      <c r="I19" s="2">
        <v>25</v>
      </c>
      <c r="J19" s="2">
        <v>2</v>
      </c>
      <c r="K19" s="2">
        <v>4</v>
      </c>
      <c r="L19" s="2">
        <v>18</v>
      </c>
      <c r="M19" s="2">
        <v>12</v>
      </c>
      <c r="N19" s="2">
        <v>2</v>
      </c>
      <c r="O19" s="2">
        <v>0.3</v>
      </c>
      <c r="P19" s="2">
        <v>0.4</v>
      </c>
      <c r="Q19" s="2">
        <v>1.2</v>
      </c>
      <c r="R19" s="2">
        <v>0.03</v>
      </c>
      <c r="S19" s="2"/>
      <c r="T19" s="2" t="s">
        <v>89</v>
      </c>
    </row>
    <row r="20" spans="1:20" x14ac:dyDescent="0.35">
      <c r="A20" s="2" t="s">
        <v>66</v>
      </c>
      <c r="B20" s="2" t="s">
        <v>87</v>
      </c>
      <c r="C20" s="2" t="s">
        <v>90</v>
      </c>
      <c r="D20" s="2">
        <v>89</v>
      </c>
      <c r="E20" s="2">
        <v>1.03</v>
      </c>
      <c r="F20" s="2">
        <v>0.95</v>
      </c>
      <c r="G20" s="2">
        <v>128</v>
      </c>
      <c r="H20" s="2">
        <v>112</v>
      </c>
      <c r="I20" s="2">
        <v>27</v>
      </c>
      <c r="J20" s="2">
        <v>3</v>
      </c>
      <c r="K20" s="2">
        <v>4</v>
      </c>
      <c r="L20" s="2">
        <v>19</v>
      </c>
      <c r="M20" s="2">
        <v>13</v>
      </c>
      <c r="N20" s="2">
        <v>3</v>
      </c>
      <c r="O20" s="2">
        <v>0.3</v>
      </c>
      <c r="P20" s="2">
        <v>0.4</v>
      </c>
      <c r="Q20" s="2">
        <v>1.2</v>
      </c>
      <c r="R20" s="2">
        <v>0.03</v>
      </c>
      <c r="S20" s="2"/>
      <c r="T20" s="2" t="s">
        <v>89</v>
      </c>
    </row>
    <row r="21" spans="1:20" x14ac:dyDescent="0.35">
      <c r="A21" s="2" t="s">
        <v>66</v>
      </c>
      <c r="B21" s="2" t="s">
        <v>87</v>
      </c>
      <c r="C21" s="2" t="s">
        <v>91</v>
      </c>
      <c r="D21" s="2">
        <v>89</v>
      </c>
      <c r="E21" s="2">
        <v>1.06</v>
      </c>
      <c r="F21" s="2">
        <v>0.95</v>
      </c>
      <c r="G21" s="2">
        <v>136</v>
      </c>
      <c r="H21" s="2">
        <v>119</v>
      </c>
      <c r="I21" s="2">
        <v>29</v>
      </c>
      <c r="J21" s="2">
        <v>4</v>
      </c>
      <c r="K21" s="2">
        <v>4</v>
      </c>
      <c r="L21" s="2">
        <v>20</v>
      </c>
      <c r="M21" s="2">
        <v>14</v>
      </c>
      <c r="N21" s="2">
        <v>4</v>
      </c>
      <c r="O21" s="2">
        <v>0.3</v>
      </c>
      <c r="P21" s="2">
        <v>0.4</v>
      </c>
      <c r="Q21" s="2">
        <v>1.2</v>
      </c>
      <c r="R21" s="2">
        <v>0.03</v>
      </c>
      <c r="S21" s="2"/>
      <c r="T21" s="2" t="s">
        <v>89</v>
      </c>
    </row>
    <row r="22" spans="1:20" x14ac:dyDescent="0.35">
      <c r="A22" s="2" t="s">
        <v>66</v>
      </c>
      <c r="B22" s="2" t="s">
        <v>87</v>
      </c>
      <c r="C22" s="2" t="s">
        <v>92</v>
      </c>
      <c r="D22" s="2">
        <v>89</v>
      </c>
      <c r="E22" s="2">
        <v>1.0900000000000001</v>
      </c>
      <c r="F22" s="2">
        <v>0.95</v>
      </c>
      <c r="G22" s="2">
        <v>144</v>
      </c>
      <c r="H22" s="2">
        <v>126</v>
      </c>
      <c r="I22" s="2">
        <v>31</v>
      </c>
      <c r="J22" s="2">
        <v>5</v>
      </c>
      <c r="K22" s="2">
        <v>4</v>
      </c>
      <c r="L22" s="2">
        <v>21</v>
      </c>
      <c r="M22" s="2">
        <v>15</v>
      </c>
      <c r="N22" s="2">
        <v>5</v>
      </c>
      <c r="O22" s="2">
        <v>0.3</v>
      </c>
      <c r="P22" s="2">
        <v>0.4</v>
      </c>
      <c r="Q22" s="2">
        <v>1.2</v>
      </c>
      <c r="R22" s="2">
        <v>0.03</v>
      </c>
      <c r="S22" s="2"/>
      <c r="T22" s="2" t="s">
        <v>89</v>
      </c>
    </row>
    <row r="23" spans="1:20" x14ac:dyDescent="0.35">
      <c r="A23" s="2" t="s">
        <v>66</v>
      </c>
      <c r="B23" s="2" t="s">
        <v>87</v>
      </c>
      <c r="C23" s="2" t="s">
        <v>93</v>
      </c>
      <c r="D23" s="2">
        <v>89</v>
      </c>
      <c r="E23" s="2">
        <v>1</v>
      </c>
      <c r="F23" s="2">
        <v>0.95</v>
      </c>
      <c r="G23" s="2">
        <v>152</v>
      </c>
      <c r="H23" s="2">
        <v>133</v>
      </c>
      <c r="I23" s="2">
        <v>33</v>
      </c>
      <c r="J23" s="2">
        <v>2</v>
      </c>
      <c r="K23" s="2">
        <v>4</v>
      </c>
      <c r="L23" s="2">
        <v>22</v>
      </c>
      <c r="M23" s="2">
        <v>16</v>
      </c>
      <c r="N23" s="2">
        <v>6</v>
      </c>
      <c r="O23" s="2">
        <v>0.3</v>
      </c>
      <c r="P23" s="2">
        <v>0.4</v>
      </c>
      <c r="Q23" s="2">
        <v>1.2</v>
      </c>
      <c r="R23" s="2">
        <v>0.03</v>
      </c>
      <c r="S23" s="2"/>
      <c r="T23" s="2" t="s">
        <v>89</v>
      </c>
    </row>
    <row r="24" spans="1:20" x14ac:dyDescent="0.35">
      <c r="A24" s="2" t="s">
        <v>66</v>
      </c>
      <c r="B24" s="2" t="s">
        <v>87</v>
      </c>
      <c r="C24" s="2" t="s">
        <v>94</v>
      </c>
      <c r="D24" s="2">
        <v>89</v>
      </c>
      <c r="E24" s="2">
        <v>1.03</v>
      </c>
      <c r="F24" s="2">
        <v>0.95</v>
      </c>
      <c r="G24" s="2">
        <v>160</v>
      </c>
      <c r="H24" s="2">
        <v>140</v>
      </c>
      <c r="I24" s="2">
        <v>35</v>
      </c>
      <c r="J24" s="2">
        <v>3</v>
      </c>
      <c r="K24" s="2">
        <v>4</v>
      </c>
      <c r="L24" s="2">
        <v>23</v>
      </c>
      <c r="M24" s="2">
        <v>17</v>
      </c>
      <c r="N24" s="2">
        <v>7</v>
      </c>
      <c r="O24" s="2">
        <v>0.3</v>
      </c>
      <c r="P24" s="2">
        <v>0.4</v>
      </c>
      <c r="Q24" s="2">
        <v>1.2</v>
      </c>
      <c r="R24" s="2">
        <v>0.03</v>
      </c>
      <c r="S24" s="2"/>
      <c r="T24" s="2" t="s">
        <v>89</v>
      </c>
    </row>
    <row r="25" spans="1:20" x14ac:dyDescent="0.35">
      <c r="A25" s="2" t="s">
        <v>66</v>
      </c>
      <c r="B25" s="2" t="s">
        <v>87</v>
      </c>
      <c r="C25" s="2" t="s">
        <v>95</v>
      </c>
      <c r="D25" s="2">
        <v>89</v>
      </c>
      <c r="E25" s="2">
        <v>1.06</v>
      </c>
      <c r="F25" s="2">
        <v>0.95</v>
      </c>
      <c r="G25" s="2">
        <v>168</v>
      </c>
      <c r="H25" s="2">
        <v>147</v>
      </c>
      <c r="I25" s="2">
        <v>37</v>
      </c>
      <c r="J25" s="2">
        <v>4</v>
      </c>
      <c r="K25" s="2">
        <v>4</v>
      </c>
      <c r="L25" s="2">
        <v>24</v>
      </c>
      <c r="M25" s="2">
        <v>18</v>
      </c>
      <c r="N25" s="2">
        <v>2</v>
      </c>
      <c r="O25" s="2">
        <v>0.3</v>
      </c>
      <c r="P25" s="2">
        <v>0.4</v>
      </c>
      <c r="Q25" s="2">
        <v>1.2</v>
      </c>
      <c r="R25" s="2">
        <v>0.03</v>
      </c>
      <c r="S25" s="2"/>
      <c r="T25" s="2" t="s">
        <v>89</v>
      </c>
    </row>
    <row r="26" spans="1:20" x14ac:dyDescent="0.35">
      <c r="A26" s="2" t="s">
        <v>66</v>
      </c>
      <c r="B26" s="2" t="s">
        <v>87</v>
      </c>
      <c r="C26" s="2" t="s">
        <v>96</v>
      </c>
      <c r="D26" s="2">
        <v>89</v>
      </c>
      <c r="E26" s="2">
        <v>1.0900000000000001</v>
      </c>
      <c r="F26" s="2">
        <v>0.95</v>
      </c>
      <c r="G26" s="2">
        <v>176</v>
      </c>
      <c r="H26" s="2">
        <v>154</v>
      </c>
      <c r="I26" s="2">
        <v>39</v>
      </c>
      <c r="J26" s="2">
        <v>5</v>
      </c>
      <c r="K26" s="2">
        <v>4</v>
      </c>
      <c r="L26" s="2">
        <v>25</v>
      </c>
      <c r="M26" s="2">
        <v>19</v>
      </c>
      <c r="N26" s="2">
        <v>3</v>
      </c>
      <c r="O26" s="2">
        <v>0.3</v>
      </c>
      <c r="P26" s="2">
        <v>0.4</v>
      </c>
      <c r="Q26" s="2">
        <v>1.2</v>
      </c>
      <c r="R26" s="2">
        <v>0.03</v>
      </c>
      <c r="S26" s="2"/>
      <c r="T26" s="2" t="s">
        <v>89</v>
      </c>
    </row>
    <row r="27" spans="1:20" x14ac:dyDescent="0.35">
      <c r="A27" s="2" t="s">
        <v>66</v>
      </c>
      <c r="B27" s="2" t="s">
        <v>87</v>
      </c>
      <c r="C27" s="2" t="s">
        <v>97</v>
      </c>
      <c r="D27" s="2">
        <v>89</v>
      </c>
      <c r="E27" s="2">
        <v>1</v>
      </c>
      <c r="F27" s="2">
        <v>0.95</v>
      </c>
      <c r="G27" s="2">
        <v>184</v>
      </c>
      <c r="H27" s="2">
        <v>161</v>
      </c>
      <c r="I27" s="2">
        <v>41</v>
      </c>
      <c r="J27" s="2">
        <v>2</v>
      </c>
      <c r="K27" s="2">
        <v>4</v>
      </c>
      <c r="L27" s="2">
        <v>26</v>
      </c>
      <c r="M27" s="2">
        <v>20</v>
      </c>
      <c r="N27" s="2">
        <v>4</v>
      </c>
      <c r="O27" s="2">
        <v>0.3</v>
      </c>
      <c r="P27" s="2">
        <v>0.4</v>
      </c>
      <c r="Q27" s="2">
        <v>1.2</v>
      </c>
      <c r="R27" s="2">
        <v>0.03</v>
      </c>
      <c r="S27" s="2"/>
      <c r="T27" s="2" t="s">
        <v>89</v>
      </c>
    </row>
    <row r="28" spans="1:20" x14ac:dyDescent="0.35">
      <c r="A28" s="2" t="s">
        <v>66</v>
      </c>
      <c r="B28" s="2" t="s">
        <v>87</v>
      </c>
      <c r="C28" s="2" t="s">
        <v>98</v>
      </c>
      <c r="D28" s="2">
        <v>89</v>
      </c>
      <c r="E28" s="2">
        <v>1.03</v>
      </c>
      <c r="F28" s="2">
        <v>0.95</v>
      </c>
      <c r="G28" s="2">
        <v>192</v>
      </c>
      <c r="H28" s="2">
        <v>168</v>
      </c>
      <c r="I28" s="2">
        <v>43</v>
      </c>
      <c r="J28" s="2">
        <v>3</v>
      </c>
      <c r="K28" s="2">
        <v>4</v>
      </c>
      <c r="L28" s="2">
        <v>27</v>
      </c>
      <c r="M28" s="2">
        <v>21</v>
      </c>
      <c r="N28" s="2">
        <v>5</v>
      </c>
      <c r="O28" s="2">
        <v>0.3</v>
      </c>
      <c r="P28" s="2">
        <v>0.4</v>
      </c>
      <c r="Q28" s="2">
        <v>1.2</v>
      </c>
      <c r="R28" s="2">
        <v>0.03</v>
      </c>
      <c r="S28" s="2"/>
      <c r="T28" s="2" t="s">
        <v>89</v>
      </c>
    </row>
    <row r="29" spans="1:20" x14ac:dyDescent="0.35">
      <c r="A29" s="2" t="s">
        <v>99</v>
      </c>
      <c r="B29" s="2" t="s">
        <v>100</v>
      </c>
      <c r="C29" s="2" t="s">
        <v>101</v>
      </c>
      <c r="D29" s="2">
        <v>25</v>
      </c>
      <c r="E29" s="2">
        <v>0.85</v>
      </c>
      <c r="F29" s="2">
        <v>0.8</v>
      </c>
      <c r="G29" s="2">
        <v>80</v>
      </c>
      <c r="H29" s="2">
        <v>85</v>
      </c>
      <c r="I29" s="2">
        <v>10</v>
      </c>
      <c r="J29" s="2">
        <v>4</v>
      </c>
      <c r="K29" s="2">
        <v>8</v>
      </c>
      <c r="L29" s="2">
        <v>20</v>
      </c>
      <c r="M29" s="2">
        <v>10</v>
      </c>
      <c r="N29" s="2">
        <v>2</v>
      </c>
      <c r="O29" s="2">
        <v>0.4</v>
      </c>
      <c r="P29" s="2">
        <v>0.3</v>
      </c>
      <c r="Q29" s="2">
        <v>1</v>
      </c>
      <c r="R29" s="2">
        <v>0.05</v>
      </c>
      <c r="S29" s="2"/>
      <c r="T29" s="2" t="s">
        <v>102</v>
      </c>
    </row>
    <row r="30" spans="1:20" x14ac:dyDescent="0.35">
      <c r="A30" s="2" t="s">
        <v>99</v>
      </c>
      <c r="B30" s="2" t="s">
        <v>100</v>
      </c>
      <c r="C30" s="2" t="s">
        <v>103</v>
      </c>
      <c r="D30" s="2">
        <v>88</v>
      </c>
      <c r="E30" s="2">
        <v>0.9</v>
      </c>
      <c r="F30" s="2">
        <v>0.8</v>
      </c>
      <c r="G30" s="2">
        <v>86</v>
      </c>
      <c r="H30" s="2">
        <v>90</v>
      </c>
      <c r="I30" s="2">
        <v>12</v>
      </c>
      <c r="J30" s="2">
        <v>5</v>
      </c>
      <c r="K30" s="2">
        <v>8</v>
      </c>
      <c r="L30" s="2">
        <v>22</v>
      </c>
      <c r="M30" s="2">
        <v>11</v>
      </c>
      <c r="N30" s="2">
        <v>3</v>
      </c>
      <c r="O30" s="2">
        <v>0.4</v>
      </c>
      <c r="P30" s="2">
        <v>0.3</v>
      </c>
      <c r="Q30" s="2">
        <v>1</v>
      </c>
      <c r="R30" s="2">
        <v>0.05</v>
      </c>
      <c r="S30" s="2"/>
      <c r="T30" s="2" t="s">
        <v>102</v>
      </c>
    </row>
    <row r="31" spans="1:20" x14ac:dyDescent="0.35">
      <c r="A31" s="2" t="s">
        <v>99</v>
      </c>
      <c r="B31" s="2" t="s">
        <v>100</v>
      </c>
      <c r="C31" s="2" t="s">
        <v>104</v>
      </c>
      <c r="D31" s="2">
        <v>88</v>
      </c>
      <c r="E31" s="2">
        <v>0.95</v>
      </c>
      <c r="F31" s="2">
        <v>0.8</v>
      </c>
      <c r="G31" s="2">
        <v>92</v>
      </c>
      <c r="H31" s="2">
        <v>95</v>
      </c>
      <c r="I31" s="2">
        <v>14</v>
      </c>
      <c r="J31" s="2">
        <v>6</v>
      </c>
      <c r="K31" s="2">
        <v>8</v>
      </c>
      <c r="L31" s="2">
        <v>24</v>
      </c>
      <c r="M31" s="2">
        <v>12</v>
      </c>
      <c r="N31" s="2">
        <v>4</v>
      </c>
      <c r="O31" s="2">
        <v>0.4</v>
      </c>
      <c r="P31" s="2">
        <v>0.3</v>
      </c>
      <c r="Q31" s="2">
        <v>1</v>
      </c>
      <c r="R31" s="2">
        <v>0.05</v>
      </c>
      <c r="S31" s="2"/>
      <c r="T31" s="2" t="s">
        <v>102</v>
      </c>
    </row>
    <row r="32" spans="1:20" x14ac:dyDescent="0.35">
      <c r="A32" s="2" t="s">
        <v>99</v>
      </c>
      <c r="B32" s="2" t="s">
        <v>100</v>
      </c>
      <c r="C32" s="2" t="s">
        <v>105</v>
      </c>
      <c r="D32" s="2">
        <v>88</v>
      </c>
      <c r="E32" s="2">
        <v>1</v>
      </c>
      <c r="F32" s="2">
        <v>0.8</v>
      </c>
      <c r="G32" s="2">
        <v>98</v>
      </c>
      <c r="H32" s="2">
        <v>100</v>
      </c>
      <c r="I32" s="2">
        <v>16</v>
      </c>
      <c r="J32" s="2">
        <v>7</v>
      </c>
      <c r="K32" s="2">
        <v>8</v>
      </c>
      <c r="L32" s="2">
        <v>26</v>
      </c>
      <c r="M32" s="2">
        <v>13</v>
      </c>
      <c r="N32" s="2">
        <v>5</v>
      </c>
      <c r="O32" s="2">
        <v>0.4</v>
      </c>
      <c r="P32" s="2">
        <v>0.3</v>
      </c>
      <c r="Q32" s="2">
        <v>1</v>
      </c>
      <c r="R32" s="2">
        <v>0.05</v>
      </c>
      <c r="S32" s="2"/>
      <c r="T32" s="2" t="s">
        <v>102</v>
      </c>
    </row>
    <row r="33" spans="1:20" x14ac:dyDescent="0.35">
      <c r="A33" s="2" t="s">
        <v>99</v>
      </c>
      <c r="B33" s="2" t="s">
        <v>100</v>
      </c>
      <c r="C33" s="2" t="s">
        <v>106</v>
      </c>
      <c r="D33" s="2">
        <v>88</v>
      </c>
      <c r="E33" s="2">
        <v>1.05</v>
      </c>
      <c r="F33" s="2">
        <v>0.8</v>
      </c>
      <c r="G33" s="2">
        <v>104</v>
      </c>
      <c r="H33" s="2">
        <v>105</v>
      </c>
      <c r="I33" s="2">
        <v>18</v>
      </c>
      <c r="J33" s="2">
        <v>8</v>
      </c>
      <c r="K33" s="2">
        <v>8</v>
      </c>
      <c r="L33" s="2">
        <v>28</v>
      </c>
      <c r="M33" s="2">
        <v>14</v>
      </c>
      <c r="N33" s="2">
        <v>2</v>
      </c>
      <c r="O33" s="2">
        <v>0.4</v>
      </c>
      <c r="P33" s="2">
        <v>0.3</v>
      </c>
      <c r="Q33" s="2">
        <v>1</v>
      </c>
      <c r="R33" s="2">
        <v>0.05</v>
      </c>
      <c r="S33" s="2"/>
      <c r="T33" s="2" t="s">
        <v>102</v>
      </c>
    </row>
    <row r="34" spans="1:20" x14ac:dyDescent="0.35">
      <c r="A34" s="2" t="s">
        <v>99</v>
      </c>
      <c r="B34" s="2" t="s">
        <v>100</v>
      </c>
      <c r="C34" s="2" t="s">
        <v>107</v>
      </c>
      <c r="D34" s="2">
        <v>88</v>
      </c>
      <c r="E34" s="2">
        <v>0.85</v>
      </c>
      <c r="F34" s="2">
        <v>0.8</v>
      </c>
      <c r="G34" s="2">
        <v>110</v>
      </c>
      <c r="H34" s="2">
        <v>110</v>
      </c>
      <c r="I34" s="2">
        <v>20</v>
      </c>
      <c r="J34" s="2">
        <v>9</v>
      </c>
      <c r="K34" s="2">
        <v>8</v>
      </c>
      <c r="L34" s="2">
        <v>30</v>
      </c>
      <c r="M34" s="2">
        <v>15</v>
      </c>
      <c r="N34" s="2">
        <v>3</v>
      </c>
      <c r="O34" s="2">
        <v>0.4</v>
      </c>
      <c r="P34" s="2">
        <v>0.3</v>
      </c>
      <c r="Q34" s="2">
        <v>1</v>
      </c>
      <c r="R34" s="2">
        <v>0.05</v>
      </c>
      <c r="S34" s="2"/>
      <c r="T34" s="2" t="s">
        <v>102</v>
      </c>
    </row>
    <row r="35" spans="1:20" x14ac:dyDescent="0.35">
      <c r="A35" s="2" t="s">
        <v>99</v>
      </c>
      <c r="B35" s="2" t="s">
        <v>100</v>
      </c>
      <c r="C35" s="2" t="s">
        <v>108</v>
      </c>
      <c r="D35" s="2">
        <v>88</v>
      </c>
      <c r="E35" s="2">
        <v>0.9</v>
      </c>
      <c r="F35" s="2">
        <v>0.8</v>
      </c>
      <c r="G35" s="2">
        <v>116</v>
      </c>
      <c r="H35" s="2">
        <v>115</v>
      </c>
      <c r="I35" s="2">
        <v>22</v>
      </c>
      <c r="J35" s="2">
        <v>10</v>
      </c>
      <c r="K35" s="2">
        <v>8</v>
      </c>
      <c r="L35" s="2">
        <v>32</v>
      </c>
      <c r="M35" s="2">
        <v>16</v>
      </c>
      <c r="N35" s="2">
        <v>4</v>
      </c>
      <c r="O35" s="2">
        <v>0.4</v>
      </c>
      <c r="P35" s="2">
        <v>0.3</v>
      </c>
      <c r="Q35" s="2">
        <v>1</v>
      </c>
      <c r="R35" s="2">
        <v>0.05</v>
      </c>
      <c r="S35" s="2"/>
      <c r="T35" s="2" t="s">
        <v>102</v>
      </c>
    </row>
    <row r="36" spans="1:20" x14ac:dyDescent="0.35">
      <c r="A36" s="2" t="s">
        <v>99</v>
      </c>
      <c r="B36" s="2" t="s">
        <v>100</v>
      </c>
      <c r="C36" s="2" t="s">
        <v>109</v>
      </c>
      <c r="D36" s="2">
        <v>88</v>
      </c>
      <c r="E36" s="2">
        <v>0.95</v>
      </c>
      <c r="F36" s="2">
        <v>0.8</v>
      </c>
      <c r="G36" s="2">
        <v>122</v>
      </c>
      <c r="H36" s="2">
        <v>120</v>
      </c>
      <c r="I36" s="2">
        <v>24</v>
      </c>
      <c r="J36" s="2">
        <v>11</v>
      </c>
      <c r="K36" s="2">
        <v>8</v>
      </c>
      <c r="L36" s="2">
        <v>34</v>
      </c>
      <c r="M36" s="2">
        <v>17</v>
      </c>
      <c r="N36" s="2">
        <v>5</v>
      </c>
      <c r="O36" s="2">
        <v>0.4</v>
      </c>
      <c r="P36" s="2">
        <v>0.3</v>
      </c>
      <c r="Q36" s="2">
        <v>1</v>
      </c>
      <c r="R36" s="2">
        <v>0.05</v>
      </c>
      <c r="S36" s="2"/>
      <c r="T36" s="2" t="s">
        <v>102</v>
      </c>
    </row>
    <row r="37" spans="1:20" x14ac:dyDescent="0.35">
      <c r="A37" s="2" t="s">
        <v>99</v>
      </c>
      <c r="B37" s="2" t="s">
        <v>100</v>
      </c>
      <c r="C37" s="2" t="s">
        <v>110</v>
      </c>
      <c r="D37" s="2">
        <v>88</v>
      </c>
      <c r="E37" s="2">
        <v>1</v>
      </c>
      <c r="F37" s="2">
        <v>0.8</v>
      </c>
      <c r="G37" s="2">
        <v>128</v>
      </c>
      <c r="H37" s="2">
        <v>125</v>
      </c>
      <c r="I37" s="2">
        <v>26</v>
      </c>
      <c r="J37" s="2">
        <v>12</v>
      </c>
      <c r="K37" s="2">
        <v>8</v>
      </c>
      <c r="L37" s="2">
        <v>36</v>
      </c>
      <c r="M37" s="2">
        <v>18</v>
      </c>
      <c r="N37" s="2">
        <v>2</v>
      </c>
      <c r="O37" s="2">
        <v>0.4</v>
      </c>
      <c r="P37" s="2">
        <v>0.3</v>
      </c>
      <c r="Q37" s="2">
        <v>1</v>
      </c>
      <c r="R37" s="2">
        <v>0.05</v>
      </c>
      <c r="S37" s="2"/>
      <c r="T37" s="2" t="s">
        <v>102</v>
      </c>
    </row>
    <row r="38" spans="1:20" x14ac:dyDescent="0.35">
      <c r="A38" s="2" t="s">
        <v>99</v>
      </c>
      <c r="B38" s="2" t="s">
        <v>100</v>
      </c>
      <c r="C38" s="2" t="s">
        <v>111</v>
      </c>
      <c r="D38" s="2">
        <v>88</v>
      </c>
      <c r="E38" s="2">
        <v>1.05</v>
      </c>
      <c r="F38" s="2">
        <v>0.8</v>
      </c>
      <c r="G38" s="2">
        <v>134</v>
      </c>
      <c r="H38" s="2">
        <v>130</v>
      </c>
      <c r="I38" s="2">
        <v>28</v>
      </c>
      <c r="J38" s="2">
        <v>13</v>
      </c>
      <c r="K38" s="2">
        <v>8</v>
      </c>
      <c r="L38" s="2">
        <v>38</v>
      </c>
      <c r="M38" s="2">
        <v>19</v>
      </c>
      <c r="N38" s="2">
        <v>3</v>
      </c>
      <c r="O38" s="2">
        <v>0.4</v>
      </c>
      <c r="P38" s="2">
        <v>0.3</v>
      </c>
      <c r="Q38" s="2">
        <v>1</v>
      </c>
      <c r="R38" s="2">
        <v>0.05</v>
      </c>
      <c r="S38" s="2"/>
      <c r="T38" s="2" t="s">
        <v>102</v>
      </c>
    </row>
    <row r="39" spans="1:20" x14ac:dyDescent="0.35">
      <c r="A39" s="2" t="s">
        <v>112</v>
      </c>
      <c r="B39" s="2" t="s">
        <v>113</v>
      </c>
      <c r="C39" s="2" t="s">
        <v>114</v>
      </c>
      <c r="D39" s="2">
        <v>100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/>
      <c r="T39" s="2" t="s">
        <v>115</v>
      </c>
    </row>
    <row r="40" spans="1:20" x14ac:dyDescent="0.35">
      <c r="A40" s="2" t="s">
        <v>112</v>
      </c>
      <c r="B40" s="2" t="s">
        <v>113</v>
      </c>
      <c r="C40" s="2" t="s">
        <v>116</v>
      </c>
      <c r="D40" s="2">
        <v>100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38</v>
      </c>
      <c r="P40" s="2">
        <v>0</v>
      </c>
      <c r="Q40" s="2">
        <v>0</v>
      </c>
      <c r="R40" s="2">
        <v>0</v>
      </c>
      <c r="S40" s="2"/>
      <c r="T40" s="2" t="s">
        <v>115</v>
      </c>
    </row>
    <row r="41" spans="1:20" x14ac:dyDescent="0.35">
      <c r="A41" s="2" t="s">
        <v>112</v>
      </c>
      <c r="B41" s="2" t="s">
        <v>113</v>
      </c>
      <c r="C41" s="2" t="s">
        <v>117</v>
      </c>
      <c r="D41" s="2">
        <v>100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/>
      <c r="T41" s="2" t="s">
        <v>115</v>
      </c>
    </row>
    <row r="42" spans="1:20" x14ac:dyDescent="0.35">
      <c r="A42" s="2" t="s">
        <v>112</v>
      </c>
      <c r="B42" s="2" t="s">
        <v>113</v>
      </c>
      <c r="C42" s="2" t="s">
        <v>118</v>
      </c>
      <c r="D42" s="2">
        <v>100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/>
      <c r="T42" s="2" t="s">
        <v>115</v>
      </c>
    </row>
    <row r="43" spans="1:20" x14ac:dyDescent="0.35">
      <c r="A43" s="2" t="s">
        <v>112</v>
      </c>
      <c r="B43" s="2" t="s">
        <v>113</v>
      </c>
      <c r="C43" s="2" t="s">
        <v>119</v>
      </c>
      <c r="D43" s="2">
        <v>100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/>
      <c r="T43" s="2" t="s">
        <v>115</v>
      </c>
    </row>
    <row r="44" spans="1:20" x14ac:dyDescent="0.35">
      <c r="A44" s="2" t="s">
        <v>112</v>
      </c>
      <c r="B44" s="2" t="s">
        <v>113</v>
      </c>
      <c r="C44" s="2" t="s">
        <v>120</v>
      </c>
      <c r="D44" s="2">
        <v>100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/>
      <c r="T44" s="2" t="s">
        <v>115</v>
      </c>
    </row>
    <row r="45" spans="1:20" x14ac:dyDescent="0.35">
      <c r="A45" s="2" t="s">
        <v>112</v>
      </c>
      <c r="B45" s="2" t="s">
        <v>113</v>
      </c>
      <c r="C45" s="2" t="s">
        <v>121</v>
      </c>
      <c r="D45" s="2">
        <v>100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/>
      <c r="T45" s="2" t="s">
        <v>115</v>
      </c>
    </row>
    <row r="46" spans="1:20" x14ac:dyDescent="0.35">
      <c r="A46" s="2" t="s">
        <v>112</v>
      </c>
      <c r="B46" s="2" t="s">
        <v>113</v>
      </c>
      <c r="C46" s="2" t="s">
        <v>122</v>
      </c>
      <c r="D46" s="2">
        <v>100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/>
      <c r="T46" s="2" t="s">
        <v>115</v>
      </c>
    </row>
    <row r="47" spans="1:20" x14ac:dyDescent="0.35">
      <c r="A47" s="2" t="s">
        <v>112</v>
      </c>
      <c r="B47" s="2" t="s">
        <v>113</v>
      </c>
      <c r="C47" s="2" t="s">
        <v>123</v>
      </c>
      <c r="D47" s="2">
        <v>100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/>
      <c r="T47" s="2" t="s">
        <v>115</v>
      </c>
    </row>
    <row r="48" spans="1:20" x14ac:dyDescent="0.35">
      <c r="A48" s="2" t="s">
        <v>112</v>
      </c>
      <c r="B48" s="2" t="s">
        <v>113</v>
      </c>
      <c r="C48" s="2" t="s">
        <v>124</v>
      </c>
      <c r="D48" s="2">
        <v>100</v>
      </c>
      <c r="E48" s="2">
        <v>2.5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/>
      <c r="T48" s="2" t="s">
        <v>115</v>
      </c>
    </row>
    <row r="49" spans="1:20" x14ac:dyDescent="0.35">
      <c r="A49" s="2" t="s">
        <v>112</v>
      </c>
      <c r="B49" s="2" t="s">
        <v>113</v>
      </c>
      <c r="C49" s="2" t="s">
        <v>125</v>
      </c>
      <c r="D49" s="2">
        <v>100</v>
      </c>
      <c r="E49" s="2">
        <v>2.5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/>
      <c r="T49" s="2" t="s">
        <v>115</v>
      </c>
    </row>
    <row r="50" spans="1:20" x14ac:dyDescent="0.35">
      <c r="A50" s="2" t="s">
        <v>112</v>
      </c>
      <c r="B50" s="2" t="s">
        <v>113</v>
      </c>
      <c r="C50" s="2" t="s">
        <v>126</v>
      </c>
      <c r="D50" s="2">
        <v>100</v>
      </c>
      <c r="E50" s="2">
        <v>2.5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/>
      <c r="T50" s="2" t="s">
        <v>115</v>
      </c>
    </row>
    <row r="51" spans="1:20" x14ac:dyDescent="0.35">
      <c r="A51" s="2" t="s">
        <v>112</v>
      </c>
      <c r="B51" s="2" t="s">
        <v>113</v>
      </c>
      <c r="C51" s="2" t="s">
        <v>127</v>
      </c>
      <c r="D51" s="2">
        <v>100</v>
      </c>
      <c r="E51" s="2">
        <v>2.5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/>
      <c r="T51" s="2" t="s">
        <v>115</v>
      </c>
    </row>
    <row r="52" spans="1:20" x14ac:dyDescent="0.35">
      <c r="A52" s="2" t="s">
        <v>112</v>
      </c>
      <c r="B52" s="2" t="s">
        <v>113</v>
      </c>
      <c r="C52" s="2" t="s">
        <v>128</v>
      </c>
      <c r="D52" s="2">
        <v>100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/>
      <c r="T52" s="2" t="s">
        <v>115</v>
      </c>
    </row>
    <row r="53" spans="1:20" x14ac:dyDescent="0.35">
      <c r="A53" s="2" t="s">
        <v>112</v>
      </c>
      <c r="B53" s="2" t="s">
        <v>113</v>
      </c>
      <c r="C53" s="2" t="s">
        <v>129</v>
      </c>
      <c r="D53" s="2">
        <v>100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/>
      <c r="T53" s="2" t="s">
        <v>115</v>
      </c>
    </row>
    <row r="54" spans="1:20" x14ac:dyDescent="0.35">
      <c r="A54" s="2" t="s">
        <v>112</v>
      </c>
      <c r="B54" s="2" t="s">
        <v>113</v>
      </c>
      <c r="C54" s="2" t="s">
        <v>244</v>
      </c>
      <c r="D54" s="2">
        <v>100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25</v>
      </c>
      <c r="P54" s="2">
        <v>5</v>
      </c>
      <c r="Q54" s="2">
        <v>0</v>
      </c>
      <c r="R54" s="2">
        <v>0</v>
      </c>
      <c r="S54" s="2"/>
      <c r="T54" s="2"/>
    </row>
    <row r="55" spans="1:20" x14ac:dyDescent="0.35">
      <c r="A55" s="2" t="s">
        <v>130</v>
      </c>
      <c r="B55" s="2" t="s">
        <v>131</v>
      </c>
      <c r="C55" s="2" t="s">
        <v>132</v>
      </c>
      <c r="D55" s="2">
        <v>35</v>
      </c>
      <c r="E55" s="2">
        <v>0.45</v>
      </c>
      <c r="F55" s="2">
        <v>0.4</v>
      </c>
      <c r="G55" s="2">
        <v>40</v>
      </c>
      <c r="H55" s="2">
        <v>45</v>
      </c>
      <c r="I55" s="2">
        <v>5</v>
      </c>
      <c r="J55" s="2">
        <v>2</v>
      </c>
      <c r="K55" s="2">
        <v>5</v>
      </c>
      <c r="L55" s="2">
        <v>30</v>
      </c>
      <c r="M55" s="2">
        <v>18</v>
      </c>
      <c r="N55" s="2">
        <v>2</v>
      </c>
      <c r="O55" s="2">
        <v>0.3</v>
      </c>
      <c r="P55" s="2">
        <v>0.2</v>
      </c>
      <c r="Q55" s="2">
        <v>1</v>
      </c>
      <c r="R55" s="2">
        <v>0.03</v>
      </c>
      <c r="S55" s="2"/>
      <c r="T55" s="2" t="s">
        <v>133</v>
      </c>
    </row>
    <row r="56" spans="1:20" x14ac:dyDescent="0.35">
      <c r="A56" s="2" t="s">
        <v>130</v>
      </c>
      <c r="B56" s="2" t="s">
        <v>131</v>
      </c>
      <c r="C56" s="2" t="s">
        <v>134</v>
      </c>
      <c r="D56" s="2">
        <v>80</v>
      </c>
      <c r="E56" s="2">
        <v>0.53</v>
      </c>
      <c r="F56" s="2">
        <v>0.4</v>
      </c>
      <c r="G56" s="2">
        <v>45</v>
      </c>
      <c r="H56" s="2">
        <v>49</v>
      </c>
      <c r="I56" s="2">
        <v>6</v>
      </c>
      <c r="J56" s="2">
        <v>2</v>
      </c>
      <c r="K56" s="2">
        <v>5</v>
      </c>
      <c r="L56" s="2">
        <v>31</v>
      </c>
      <c r="M56" s="2">
        <v>19</v>
      </c>
      <c r="N56" s="2">
        <v>2</v>
      </c>
      <c r="O56" s="2">
        <v>0.3</v>
      </c>
      <c r="P56" s="2">
        <v>0.2</v>
      </c>
      <c r="Q56" s="2">
        <v>1</v>
      </c>
      <c r="R56" s="2">
        <v>0.03</v>
      </c>
      <c r="S56" s="2"/>
      <c r="T56" s="2" t="s">
        <v>133</v>
      </c>
    </row>
    <row r="57" spans="1:20" x14ac:dyDescent="0.35">
      <c r="A57" s="2" t="s">
        <v>130</v>
      </c>
      <c r="B57" s="2" t="s">
        <v>131</v>
      </c>
      <c r="C57" s="2" t="s">
        <v>135</v>
      </c>
      <c r="D57" s="2">
        <v>35</v>
      </c>
      <c r="E57" s="2">
        <v>0.61</v>
      </c>
      <c r="F57" s="2">
        <v>0.4</v>
      </c>
      <c r="G57" s="2">
        <v>50</v>
      </c>
      <c r="H57" s="2">
        <v>53</v>
      </c>
      <c r="I57" s="2">
        <v>7</v>
      </c>
      <c r="J57" s="2">
        <v>2</v>
      </c>
      <c r="K57" s="2">
        <v>5</v>
      </c>
      <c r="L57" s="2">
        <v>32</v>
      </c>
      <c r="M57" s="2">
        <v>20</v>
      </c>
      <c r="N57" s="2">
        <v>2</v>
      </c>
      <c r="O57" s="2">
        <v>0.3</v>
      </c>
      <c r="P57" s="2">
        <v>0.2</v>
      </c>
      <c r="Q57" s="2">
        <v>1</v>
      </c>
      <c r="R57" s="2">
        <v>0.03</v>
      </c>
      <c r="S57" s="2"/>
      <c r="T57" s="2" t="s">
        <v>133</v>
      </c>
    </row>
    <row r="58" spans="1:20" x14ac:dyDescent="0.35">
      <c r="A58" s="2" t="s">
        <v>130</v>
      </c>
      <c r="B58" s="2" t="s">
        <v>131</v>
      </c>
      <c r="C58" s="2" t="s">
        <v>136</v>
      </c>
      <c r="D58" s="2">
        <v>35</v>
      </c>
      <c r="E58" s="2">
        <v>0.69</v>
      </c>
      <c r="F58" s="2">
        <v>0.4</v>
      </c>
      <c r="G58" s="2">
        <v>55</v>
      </c>
      <c r="H58" s="2">
        <v>57</v>
      </c>
      <c r="I58" s="2">
        <v>8</v>
      </c>
      <c r="J58" s="2">
        <v>2</v>
      </c>
      <c r="K58" s="2">
        <v>5</v>
      </c>
      <c r="L58" s="2">
        <v>33</v>
      </c>
      <c r="M58" s="2">
        <v>21</v>
      </c>
      <c r="N58" s="2">
        <v>2</v>
      </c>
      <c r="O58" s="2">
        <v>0.3</v>
      </c>
      <c r="P58" s="2">
        <v>0.2</v>
      </c>
      <c r="Q58" s="2">
        <v>1</v>
      </c>
      <c r="R58" s="2">
        <v>0.03</v>
      </c>
      <c r="S58" s="2"/>
      <c r="T58" s="2" t="s">
        <v>133</v>
      </c>
    </row>
    <row r="59" spans="1:20" x14ac:dyDescent="0.35">
      <c r="A59" s="2" t="s">
        <v>130</v>
      </c>
      <c r="B59" s="2" t="s">
        <v>131</v>
      </c>
      <c r="C59" s="2" t="s">
        <v>137</v>
      </c>
      <c r="D59" s="2">
        <v>35</v>
      </c>
      <c r="E59" s="2">
        <v>0.77</v>
      </c>
      <c r="F59" s="2">
        <v>0.4</v>
      </c>
      <c r="G59" s="2">
        <v>60</v>
      </c>
      <c r="H59" s="2">
        <v>61</v>
      </c>
      <c r="I59" s="2">
        <v>9</v>
      </c>
      <c r="J59" s="2">
        <v>2</v>
      </c>
      <c r="K59" s="2">
        <v>5</v>
      </c>
      <c r="L59" s="2">
        <v>34</v>
      </c>
      <c r="M59" s="2">
        <v>22</v>
      </c>
      <c r="N59" s="2">
        <v>2</v>
      </c>
      <c r="O59" s="2">
        <v>0.3</v>
      </c>
      <c r="P59" s="2">
        <v>0.2</v>
      </c>
      <c r="Q59" s="2">
        <v>1</v>
      </c>
      <c r="R59" s="2">
        <v>0.03</v>
      </c>
      <c r="S59" s="2"/>
      <c r="T59" s="2" t="s">
        <v>133</v>
      </c>
    </row>
    <row r="60" spans="1:20" x14ac:dyDescent="0.35">
      <c r="A60" s="2" t="s">
        <v>130</v>
      </c>
      <c r="B60" s="2" t="s">
        <v>131</v>
      </c>
      <c r="C60" s="2" t="s">
        <v>138</v>
      </c>
      <c r="D60" s="2">
        <v>35</v>
      </c>
      <c r="E60" s="2">
        <v>0.85000000000000009</v>
      </c>
      <c r="F60" s="2">
        <v>0.4</v>
      </c>
      <c r="G60" s="2">
        <v>65</v>
      </c>
      <c r="H60" s="2">
        <v>65</v>
      </c>
      <c r="I60" s="2">
        <v>10</v>
      </c>
      <c r="J60" s="2">
        <v>2</v>
      </c>
      <c r="K60" s="2">
        <v>5</v>
      </c>
      <c r="L60" s="2">
        <v>35</v>
      </c>
      <c r="M60" s="2">
        <v>23</v>
      </c>
      <c r="N60" s="2">
        <v>2</v>
      </c>
      <c r="O60" s="2">
        <v>0.3</v>
      </c>
      <c r="P60" s="2">
        <v>0.2</v>
      </c>
      <c r="Q60" s="2">
        <v>1</v>
      </c>
      <c r="R60" s="2">
        <v>0.03</v>
      </c>
      <c r="S60" s="2"/>
      <c r="T60" s="2" t="s">
        <v>133</v>
      </c>
    </row>
    <row r="61" spans="1:20" x14ac:dyDescent="0.35">
      <c r="A61" s="2" t="s">
        <v>130</v>
      </c>
      <c r="B61" s="2" t="s">
        <v>131</v>
      </c>
      <c r="C61" s="2" t="s">
        <v>139</v>
      </c>
      <c r="D61" s="2">
        <v>35</v>
      </c>
      <c r="E61" s="2">
        <v>0.92999999999999994</v>
      </c>
      <c r="F61" s="2">
        <v>0.4</v>
      </c>
      <c r="G61" s="2">
        <v>70</v>
      </c>
      <c r="H61" s="2">
        <v>69</v>
      </c>
      <c r="I61" s="2">
        <v>11</v>
      </c>
      <c r="J61" s="2">
        <v>2</v>
      </c>
      <c r="K61" s="2">
        <v>5</v>
      </c>
      <c r="L61" s="2">
        <v>36</v>
      </c>
      <c r="M61" s="2">
        <v>24</v>
      </c>
      <c r="N61" s="2">
        <v>2</v>
      </c>
      <c r="O61" s="2">
        <v>0.3</v>
      </c>
      <c r="P61" s="2">
        <v>0.2</v>
      </c>
      <c r="Q61" s="2">
        <v>1</v>
      </c>
      <c r="R61" s="2">
        <v>0.03</v>
      </c>
      <c r="S61" s="2"/>
      <c r="T61" s="2" t="s">
        <v>133</v>
      </c>
    </row>
    <row r="62" spans="1:20" x14ac:dyDescent="0.35">
      <c r="A62" s="2" t="s">
        <v>130</v>
      </c>
      <c r="B62" s="2" t="s">
        <v>131</v>
      </c>
      <c r="C62" s="2" t="s">
        <v>140</v>
      </c>
      <c r="D62" s="2">
        <v>35</v>
      </c>
      <c r="E62" s="2">
        <v>1.01</v>
      </c>
      <c r="F62" s="2">
        <v>0.4</v>
      </c>
      <c r="G62" s="2">
        <v>75</v>
      </c>
      <c r="H62" s="2">
        <v>73</v>
      </c>
      <c r="I62" s="2">
        <v>12</v>
      </c>
      <c r="J62" s="2">
        <v>2</v>
      </c>
      <c r="K62" s="2">
        <v>5</v>
      </c>
      <c r="L62" s="2">
        <v>37</v>
      </c>
      <c r="M62" s="2">
        <v>25</v>
      </c>
      <c r="N62" s="2">
        <v>2</v>
      </c>
      <c r="O62" s="2">
        <v>0.3</v>
      </c>
      <c r="P62" s="2">
        <v>0.2</v>
      </c>
      <c r="Q62" s="2">
        <v>1</v>
      </c>
      <c r="R62" s="2">
        <v>0.03</v>
      </c>
      <c r="S62" s="2"/>
      <c r="T62" s="2" t="s">
        <v>133</v>
      </c>
    </row>
    <row r="63" spans="1:20" x14ac:dyDescent="0.35">
      <c r="A63" s="2" t="s">
        <v>130</v>
      </c>
      <c r="B63" s="2" t="s">
        <v>131</v>
      </c>
      <c r="C63" s="2" t="s">
        <v>141</v>
      </c>
      <c r="D63" s="2">
        <v>35</v>
      </c>
      <c r="E63" s="2">
        <v>0.45</v>
      </c>
      <c r="F63" s="2">
        <v>0.4</v>
      </c>
      <c r="G63" s="2">
        <v>80</v>
      </c>
      <c r="H63" s="2">
        <v>77</v>
      </c>
      <c r="I63" s="2">
        <v>13</v>
      </c>
      <c r="J63" s="2">
        <v>2</v>
      </c>
      <c r="K63" s="2">
        <v>5</v>
      </c>
      <c r="L63" s="2">
        <v>38</v>
      </c>
      <c r="M63" s="2">
        <v>26</v>
      </c>
      <c r="N63" s="2">
        <v>2</v>
      </c>
      <c r="O63" s="2">
        <v>0.3</v>
      </c>
      <c r="P63" s="2">
        <v>0.2</v>
      </c>
      <c r="Q63" s="2">
        <v>1</v>
      </c>
      <c r="R63" s="2">
        <v>0.03</v>
      </c>
      <c r="S63" s="2"/>
      <c r="T63" s="2" t="s">
        <v>133</v>
      </c>
    </row>
    <row r="64" spans="1:20" x14ac:dyDescent="0.35">
      <c r="A64" s="2" t="s">
        <v>130</v>
      </c>
      <c r="B64" s="2" t="s">
        <v>131</v>
      </c>
      <c r="C64" s="2" t="s">
        <v>142</v>
      </c>
      <c r="D64" s="2">
        <v>80</v>
      </c>
      <c r="E64" s="2">
        <v>0.53</v>
      </c>
      <c r="F64" s="2">
        <v>0.4</v>
      </c>
      <c r="G64" s="2">
        <v>85</v>
      </c>
      <c r="H64" s="2">
        <v>81</v>
      </c>
      <c r="I64" s="2">
        <v>14</v>
      </c>
      <c r="J64" s="2">
        <v>2</v>
      </c>
      <c r="K64" s="2">
        <v>5</v>
      </c>
      <c r="L64" s="2">
        <v>39</v>
      </c>
      <c r="M64" s="2">
        <v>27</v>
      </c>
      <c r="N64" s="2">
        <v>2</v>
      </c>
      <c r="O64" s="2">
        <v>0.3</v>
      </c>
      <c r="P64" s="2">
        <v>0.2</v>
      </c>
      <c r="Q64" s="2">
        <v>1</v>
      </c>
      <c r="R64" s="2">
        <v>0.03</v>
      </c>
      <c r="S64" s="2"/>
      <c r="T64" s="2" t="s">
        <v>133</v>
      </c>
    </row>
    <row r="65" spans="1:20" x14ac:dyDescent="0.35">
      <c r="A65" s="2" t="s">
        <v>130</v>
      </c>
      <c r="B65" s="2" t="s">
        <v>131</v>
      </c>
      <c r="C65" s="2" t="s">
        <v>143</v>
      </c>
      <c r="D65" s="2">
        <v>80</v>
      </c>
      <c r="E65" s="2">
        <v>0.61</v>
      </c>
      <c r="F65" s="2">
        <v>0.4</v>
      </c>
      <c r="G65" s="2">
        <v>90</v>
      </c>
      <c r="H65" s="2">
        <v>85</v>
      </c>
      <c r="I65" s="2">
        <v>15</v>
      </c>
      <c r="J65" s="2">
        <v>2</v>
      </c>
      <c r="K65" s="2">
        <v>5</v>
      </c>
      <c r="L65" s="2">
        <v>40</v>
      </c>
      <c r="M65" s="2">
        <v>28</v>
      </c>
      <c r="N65" s="2">
        <v>2</v>
      </c>
      <c r="O65" s="2">
        <v>0.3</v>
      </c>
      <c r="P65" s="2">
        <v>0.2</v>
      </c>
      <c r="Q65" s="2">
        <v>1</v>
      </c>
      <c r="R65" s="2">
        <v>0.03</v>
      </c>
      <c r="S65" s="2"/>
      <c r="T65" s="2" t="s">
        <v>133</v>
      </c>
    </row>
    <row r="66" spans="1:20" x14ac:dyDescent="0.35">
      <c r="A66" s="2" t="s">
        <v>130</v>
      </c>
      <c r="B66" s="2" t="s">
        <v>131</v>
      </c>
      <c r="C66" s="2" t="s">
        <v>144</v>
      </c>
      <c r="D66" s="2">
        <v>80</v>
      </c>
      <c r="E66" s="2">
        <v>0.69</v>
      </c>
      <c r="F66" s="2">
        <v>0.4</v>
      </c>
      <c r="G66" s="2">
        <v>95</v>
      </c>
      <c r="H66" s="2">
        <v>89</v>
      </c>
      <c r="I66" s="2">
        <v>16</v>
      </c>
      <c r="J66" s="2">
        <v>2</v>
      </c>
      <c r="K66" s="2">
        <v>5</v>
      </c>
      <c r="L66" s="2">
        <v>41</v>
      </c>
      <c r="M66" s="2">
        <v>29</v>
      </c>
      <c r="N66" s="2">
        <v>2</v>
      </c>
      <c r="O66" s="2">
        <v>0.3</v>
      </c>
      <c r="P66" s="2">
        <v>0.2</v>
      </c>
      <c r="Q66" s="2">
        <v>1</v>
      </c>
      <c r="R66" s="2">
        <v>0.03</v>
      </c>
      <c r="S66" s="2"/>
      <c r="T66" s="2" t="s">
        <v>133</v>
      </c>
    </row>
    <row r="67" spans="1:20" x14ac:dyDescent="0.35">
      <c r="A67" s="2" t="s">
        <v>130</v>
      </c>
      <c r="B67" s="2" t="s">
        <v>131</v>
      </c>
      <c r="C67" s="2" t="s">
        <v>145</v>
      </c>
      <c r="D67" s="2">
        <v>80</v>
      </c>
      <c r="E67" s="2">
        <v>0.77</v>
      </c>
      <c r="F67" s="2">
        <v>0.4</v>
      </c>
      <c r="G67" s="2">
        <v>100</v>
      </c>
      <c r="H67" s="2">
        <v>93</v>
      </c>
      <c r="I67" s="2">
        <v>17</v>
      </c>
      <c r="J67" s="2">
        <v>2</v>
      </c>
      <c r="K67" s="2">
        <v>5</v>
      </c>
      <c r="L67" s="2">
        <v>42</v>
      </c>
      <c r="M67" s="2">
        <v>30</v>
      </c>
      <c r="N67" s="2">
        <v>2</v>
      </c>
      <c r="O67" s="2">
        <v>0.3</v>
      </c>
      <c r="P67" s="2">
        <v>0.2</v>
      </c>
      <c r="Q67" s="2">
        <v>1</v>
      </c>
      <c r="R67" s="2">
        <v>0.03</v>
      </c>
      <c r="S67" s="2"/>
      <c r="T67" s="2" t="s">
        <v>133</v>
      </c>
    </row>
    <row r="68" spans="1:20" x14ac:dyDescent="0.35">
      <c r="A68" s="2" t="s">
        <v>130</v>
      </c>
      <c r="B68" s="2" t="s">
        <v>131</v>
      </c>
      <c r="C68" s="2" t="s">
        <v>146</v>
      </c>
      <c r="D68" s="2">
        <v>35</v>
      </c>
      <c r="E68" s="2">
        <v>0.85000000000000009</v>
      </c>
      <c r="F68" s="2">
        <v>0.4</v>
      </c>
      <c r="G68" s="2">
        <v>105</v>
      </c>
      <c r="H68" s="2">
        <v>97</v>
      </c>
      <c r="I68" s="2">
        <v>18</v>
      </c>
      <c r="J68" s="2">
        <v>2</v>
      </c>
      <c r="K68" s="2">
        <v>5</v>
      </c>
      <c r="L68" s="2">
        <v>43</v>
      </c>
      <c r="M68" s="2">
        <v>31</v>
      </c>
      <c r="N68" s="2">
        <v>2</v>
      </c>
      <c r="O68" s="2">
        <v>0.3</v>
      </c>
      <c r="P68" s="2">
        <v>0.2</v>
      </c>
      <c r="Q68" s="2">
        <v>1</v>
      </c>
      <c r="R68" s="2">
        <v>0.03</v>
      </c>
      <c r="S68" s="2"/>
      <c r="T68" s="2" t="s">
        <v>133</v>
      </c>
    </row>
    <row r="69" spans="1:20" x14ac:dyDescent="0.35">
      <c r="A69" s="2" t="s">
        <v>130</v>
      </c>
      <c r="B69" s="2" t="s">
        <v>131</v>
      </c>
      <c r="C69" s="2" t="s">
        <v>147</v>
      </c>
      <c r="D69" s="2">
        <v>35</v>
      </c>
      <c r="E69" s="2">
        <v>0.92999999999999994</v>
      </c>
      <c r="F69" s="2">
        <v>0.4</v>
      </c>
      <c r="G69" s="2">
        <v>110</v>
      </c>
      <c r="H69" s="2">
        <v>101</v>
      </c>
      <c r="I69" s="2">
        <v>19</v>
      </c>
      <c r="J69" s="2">
        <v>2</v>
      </c>
      <c r="K69" s="2">
        <v>5</v>
      </c>
      <c r="L69" s="2">
        <v>44</v>
      </c>
      <c r="M69" s="2">
        <v>32</v>
      </c>
      <c r="N69" s="2">
        <v>2</v>
      </c>
      <c r="O69" s="2">
        <v>0.3</v>
      </c>
      <c r="P69" s="2">
        <v>0.2</v>
      </c>
      <c r="Q69" s="2">
        <v>1</v>
      </c>
      <c r="R69" s="2">
        <v>0.03</v>
      </c>
      <c r="S69" s="2"/>
      <c r="T69" s="2" t="s">
        <v>133</v>
      </c>
    </row>
    <row r="70" spans="1:20" x14ac:dyDescent="0.35">
      <c r="A70" s="2" t="s">
        <v>130</v>
      </c>
      <c r="B70" s="2" t="s">
        <v>131</v>
      </c>
      <c r="C70" s="2" t="s">
        <v>148</v>
      </c>
      <c r="D70" s="2">
        <v>80</v>
      </c>
      <c r="E70" s="2">
        <v>1.01</v>
      </c>
      <c r="F70" s="2">
        <v>0.4</v>
      </c>
      <c r="G70" s="2">
        <v>115</v>
      </c>
      <c r="H70" s="2">
        <v>105</v>
      </c>
      <c r="I70" s="2">
        <v>20</v>
      </c>
      <c r="J70" s="2">
        <v>10</v>
      </c>
      <c r="K70" s="2">
        <v>5</v>
      </c>
      <c r="L70" s="2">
        <v>45</v>
      </c>
      <c r="M70" s="2">
        <v>33</v>
      </c>
      <c r="N70" s="2">
        <v>2</v>
      </c>
      <c r="O70" s="2">
        <v>0.3</v>
      </c>
      <c r="P70" s="2">
        <v>0.2</v>
      </c>
      <c r="Q70" s="2">
        <v>1</v>
      </c>
      <c r="R70" s="2">
        <v>0.03</v>
      </c>
      <c r="S70" s="2"/>
      <c r="T70" s="2" t="s">
        <v>133</v>
      </c>
    </row>
    <row r="71" spans="1:20" x14ac:dyDescent="0.35">
      <c r="A71" s="2" t="s">
        <v>130</v>
      </c>
      <c r="B71" s="2" t="s">
        <v>131</v>
      </c>
      <c r="C71" s="2" t="s">
        <v>149</v>
      </c>
      <c r="D71" s="2">
        <v>35</v>
      </c>
      <c r="E71" s="2">
        <v>0.45</v>
      </c>
      <c r="F71" s="2">
        <v>0.4</v>
      </c>
      <c r="G71" s="2">
        <v>120</v>
      </c>
      <c r="H71" s="2">
        <v>109</v>
      </c>
      <c r="I71" s="2">
        <v>21</v>
      </c>
      <c r="J71" s="2">
        <v>2</v>
      </c>
      <c r="K71" s="2">
        <v>5</v>
      </c>
      <c r="L71" s="2">
        <v>46</v>
      </c>
      <c r="M71" s="2">
        <v>34</v>
      </c>
      <c r="N71" s="2">
        <v>2</v>
      </c>
      <c r="O71" s="2">
        <v>0.3</v>
      </c>
      <c r="P71" s="2">
        <v>0.2</v>
      </c>
      <c r="Q71" s="2">
        <v>1</v>
      </c>
      <c r="R71" s="2">
        <v>0.03</v>
      </c>
      <c r="S71" s="2"/>
      <c r="T71" s="2" t="s">
        <v>133</v>
      </c>
    </row>
    <row r="72" spans="1:20" x14ac:dyDescent="0.35">
      <c r="A72" s="2" t="s">
        <v>130</v>
      </c>
      <c r="B72" s="2" t="s">
        <v>131</v>
      </c>
      <c r="C72" s="2" t="s">
        <v>150</v>
      </c>
      <c r="D72" s="2">
        <v>35</v>
      </c>
      <c r="E72" s="2">
        <v>0.53</v>
      </c>
      <c r="F72" s="2">
        <v>0.4</v>
      </c>
      <c r="G72" s="2">
        <v>125</v>
      </c>
      <c r="H72" s="2">
        <v>113</v>
      </c>
      <c r="I72" s="2">
        <v>22</v>
      </c>
      <c r="J72" s="2">
        <v>2</v>
      </c>
      <c r="K72" s="2">
        <v>5</v>
      </c>
      <c r="L72" s="2">
        <v>47</v>
      </c>
      <c r="M72" s="2">
        <v>35</v>
      </c>
      <c r="N72" s="2">
        <v>2</v>
      </c>
      <c r="O72" s="2">
        <v>0.3</v>
      </c>
      <c r="P72" s="2">
        <v>0.2</v>
      </c>
      <c r="Q72" s="2">
        <v>1</v>
      </c>
      <c r="R72" s="2">
        <v>0.03</v>
      </c>
      <c r="S72" s="2"/>
      <c r="T72" s="2" t="s">
        <v>133</v>
      </c>
    </row>
    <row r="73" spans="1:20" x14ac:dyDescent="0.35">
      <c r="A73" s="2" t="s">
        <v>130</v>
      </c>
      <c r="B73" s="2" t="s">
        <v>131</v>
      </c>
      <c r="C73" s="2" t="s">
        <v>151</v>
      </c>
      <c r="D73" s="2">
        <v>35</v>
      </c>
      <c r="E73" s="2">
        <v>0.61</v>
      </c>
      <c r="F73" s="2">
        <v>0.4</v>
      </c>
      <c r="G73" s="2">
        <v>130</v>
      </c>
      <c r="H73" s="2">
        <v>117</v>
      </c>
      <c r="I73" s="2">
        <v>23</v>
      </c>
      <c r="J73" s="2">
        <v>2</v>
      </c>
      <c r="K73" s="2">
        <v>5</v>
      </c>
      <c r="L73" s="2">
        <v>48</v>
      </c>
      <c r="M73" s="2">
        <v>36</v>
      </c>
      <c r="N73" s="2">
        <v>2</v>
      </c>
      <c r="O73" s="2">
        <v>0.3</v>
      </c>
      <c r="P73" s="2">
        <v>0.2</v>
      </c>
      <c r="Q73" s="2">
        <v>1</v>
      </c>
      <c r="R73" s="2">
        <v>0.03</v>
      </c>
      <c r="S73" s="2"/>
      <c r="T73" s="2" t="s">
        <v>133</v>
      </c>
    </row>
    <row r="74" spans="1:20" x14ac:dyDescent="0.35">
      <c r="A74" s="2" t="s">
        <v>130</v>
      </c>
      <c r="B74" s="2" t="s">
        <v>131</v>
      </c>
      <c r="C74" s="2" t="s">
        <v>152</v>
      </c>
      <c r="D74" s="2">
        <v>35</v>
      </c>
      <c r="E74" s="2">
        <v>0.69</v>
      </c>
      <c r="F74" s="2">
        <v>0.4</v>
      </c>
      <c r="G74" s="2">
        <v>135</v>
      </c>
      <c r="H74" s="2">
        <v>121</v>
      </c>
      <c r="I74" s="2">
        <v>24</v>
      </c>
      <c r="J74" s="2">
        <v>2</v>
      </c>
      <c r="K74" s="2">
        <v>5</v>
      </c>
      <c r="L74" s="2">
        <v>49</v>
      </c>
      <c r="M74" s="2">
        <v>37</v>
      </c>
      <c r="N74" s="2">
        <v>2</v>
      </c>
      <c r="O74" s="2">
        <v>0.3</v>
      </c>
      <c r="P74" s="2">
        <v>0.2</v>
      </c>
      <c r="Q74" s="2">
        <v>1</v>
      </c>
      <c r="R74" s="2">
        <v>0.03</v>
      </c>
      <c r="S74" s="2"/>
      <c r="T74" s="2" t="s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6"/>
  <sheetViews>
    <sheetView workbookViewId="0">
      <pane xSplit="2" ySplit="3" topLeftCell="C24" activePane="bottomRight" state="frozen"/>
      <selection pane="topRight" activeCell="C1" sqref="C1"/>
      <selection pane="bottomLeft" activeCell="A4" sqref="A4"/>
      <selection pane="bottomRight" activeCell="B20" sqref="B20"/>
    </sheetView>
  </sheetViews>
  <sheetFormatPr baseColWidth="10" defaultColWidth="8.7265625" defaultRowHeight="14.5" x14ac:dyDescent="0.35"/>
  <cols>
    <col min="1" max="1" width="24" customWidth="1"/>
    <col min="2" max="2" width="18" customWidth="1"/>
    <col min="3" max="12" width="13" customWidth="1"/>
    <col min="13" max="13" width="16" customWidth="1"/>
    <col min="14" max="14" width="16.81640625" customWidth="1"/>
    <col min="15" max="32" width="13" customWidth="1"/>
  </cols>
  <sheetData>
    <row r="1" spans="1:32" x14ac:dyDescent="0.35">
      <c r="A1" s="5" t="s">
        <v>153</v>
      </c>
    </row>
    <row r="3" spans="1:32" x14ac:dyDescent="0.35">
      <c r="A3" s="4" t="s">
        <v>31</v>
      </c>
      <c r="B3" s="4" t="s">
        <v>154</v>
      </c>
      <c r="C3" s="4" t="s">
        <v>155</v>
      </c>
      <c r="D3" s="4" t="s">
        <v>156</v>
      </c>
      <c r="E3" s="4" t="s">
        <v>157</v>
      </c>
      <c r="F3" s="4" t="s">
        <v>158</v>
      </c>
      <c r="G3" s="4" t="s">
        <v>159</v>
      </c>
      <c r="H3" s="4" t="s">
        <v>160</v>
      </c>
      <c r="I3" s="4" t="s">
        <v>161</v>
      </c>
      <c r="J3" s="4" t="s">
        <v>162</v>
      </c>
      <c r="K3" s="4" t="s">
        <v>163</v>
      </c>
      <c r="L3" s="4" t="s">
        <v>164</v>
      </c>
      <c r="M3" s="4" t="s">
        <v>165</v>
      </c>
      <c r="N3" s="4" t="s">
        <v>166</v>
      </c>
      <c r="O3" s="4" t="s">
        <v>167</v>
      </c>
      <c r="P3" s="4" t="s">
        <v>168</v>
      </c>
      <c r="Q3" s="4" t="s">
        <v>169</v>
      </c>
      <c r="R3" s="4" t="s">
        <v>170</v>
      </c>
      <c r="S3" s="4" t="s">
        <v>171</v>
      </c>
      <c r="T3" s="4" t="s">
        <v>172</v>
      </c>
      <c r="U3" s="4" t="s">
        <v>173</v>
      </c>
      <c r="V3" s="4" t="s">
        <v>174</v>
      </c>
      <c r="W3" s="4" t="s">
        <v>175</v>
      </c>
      <c r="X3" s="4" t="s">
        <v>176</v>
      </c>
      <c r="Y3" s="4" t="s">
        <v>177</v>
      </c>
      <c r="Z3" s="4" t="s">
        <v>178</v>
      </c>
      <c r="AA3" s="4" t="s">
        <v>181</v>
      </c>
      <c r="AB3" s="4" t="s">
        <v>182</v>
      </c>
      <c r="AC3" s="4" t="s">
        <v>183</v>
      </c>
      <c r="AD3" s="4" t="s">
        <v>184</v>
      </c>
      <c r="AE3" s="4" t="s">
        <v>187</v>
      </c>
      <c r="AF3" s="4" t="s">
        <v>188</v>
      </c>
    </row>
    <row r="4" spans="1:32" x14ac:dyDescent="0.35">
      <c r="A4" t="s">
        <v>48</v>
      </c>
      <c r="B4">
        <v>25</v>
      </c>
      <c r="C4">
        <f>IFERROR(INDEX('Bibliothèque MP INRA'!$D:$D,MATCH($A4,'Bibliothèque MP INRA'!$C:$C,0)),"")</f>
        <v>33</v>
      </c>
      <c r="D4">
        <f t="shared" ref="D4:D33" si="0">IFERROR($B4*C4/100,"")</f>
        <v>8.25</v>
      </c>
      <c r="E4">
        <f>IFERROR(INDEX('Bibliothèque MP INRA'!$E:$E,MATCH($A4,'Bibliothèque MP INRA'!$C:$C,0)),"")</f>
        <v>0.92</v>
      </c>
      <c r="F4">
        <f t="shared" ref="F4:F33" si="1">IFERROR(D4*E4,"")</f>
        <v>7.5900000000000007</v>
      </c>
      <c r="G4">
        <f>IFERROR(INDEX('Bibliothèque MP INRA'!$I:$I,MATCH($A4,'Bibliothèque MP INRA'!$C:$C,0)),"")</f>
        <v>8</v>
      </c>
      <c r="H4">
        <f t="shared" ref="H4:H33" si="2">IFERROR(D4*G4/100,"")</f>
        <v>0.66</v>
      </c>
      <c r="I4">
        <f>IFERROR(INDEX('Bibliothèque MP INRA'!$G:$G,MATCH($A4,'Bibliothèque MP INRA'!$C:$C,0)),"")</f>
        <v>62</v>
      </c>
      <c r="J4">
        <f t="shared" ref="J4:J33" si="3">IFERROR(D4*I4,"")</f>
        <v>511.5</v>
      </c>
      <c r="K4">
        <f>IFERROR(INDEX('Bibliothèque MP INRA'!$H:$H,MATCH($A4,'Bibliothèque MP INRA'!$C:$C,0)),"")</f>
        <v>90</v>
      </c>
      <c r="L4">
        <f t="shared" ref="L4:L33" si="4">IFERROR(D4*K4,"")</f>
        <v>742.5</v>
      </c>
      <c r="M4">
        <f>IFERROR(INDEX('Bibliothèque MP INRA'!$J:$J,MATCH($A4,'Bibliothèque MP INRA'!$C:$C,0)),"")</f>
        <v>32</v>
      </c>
      <c r="N4">
        <f t="shared" ref="N4:N13" si="5">IFERROR(D4*M4/100,"")</f>
        <v>2.64</v>
      </c>
      <c r="O4">
        <f>IFERROR(INDEX('Bibliothèque MP INRA'!$K:$K,MATCH($A4,'Bibliothèque MP INRA'!$C:$C,0)),"")</f>
        <v>3</v>
      </c>
      <c r="P4">
        <f t="shared" ref="P4:P33" si="6">IFERROR(D4*O4/100,"")</f>
        <v>0.2475</v>
      </c>
      <c r="Q4">
        <f>IFERROR(INDEX('Bibliothèque MP INRA'!$L:$L,MATCH($A4,'Bibliothèque MP INRA'!$C:$C,0)),"")</f>
        <v>42</v>
      </c>
      <c r="R4">
        <f t="shared" ref="R4:R33" si="7">IFERROR(D4*Q4/100,"")</f>
        <v>3.4649999999999999</v>
      </c>
      <c r="S4">
        <f>IFERROR(INDEX('Bibliothèque MP INRA'!$M:$M,MATCH($A4,'Bibliothèque MP INRA'!$C:$C,0)),"")</f>
        <v>24</v>
      </c>
      <c r="T4">
        <f t="shared" ref="T4:T33" si="8">IFERROR(D4*S4/100,"")</f>
        <v>1.98</v>
      </c>
      <c r="U4">
        <f>IFERROR(INDEX('Bibliothèque MP INRA'!$N:$N,MATCH($A4,'Bibliothèque MP INRA'!$C:$C,0)),"")</f>
        <v>3</v>
      </c>
      <c r="V4">
        <f t="shared" ref="V4:V33" si="9">IFERROR(D4*U4/100,"")</f>
        <v>0.2475</v>
      </c>
      <c r="W4">
        <f>IFERROR(INDEX('Bibliothèque MP INRA'!$O:$O,MATCH($A4,'Bibliothèque MP INRA'!$C:$C,0)),"")</f>
        <v>0.25</v>
      </c>
      <c r="X4">
        <f>IFERROR(D4*W4,"")</f>
        <v>2.0625</v>
      </c>
      <c r="Y4">
        <f>IFERROR(INDEX('Bibliothèque MP INRA'!$P:$P,MATCH($A4,'Bibliothèque MP INRA'!$C:$C,0)),"")</f>
        <v>0.22</v>
      </c>
      <c r="Z4">
        <f t="shared" ref="Z4:Z33" si="10">IFERROR(D4*Y4/100,"")</f>
        <v>1.8149999999999999E-2</v>
      </c>
      <c r="AA4">
        <f>IFERROR(INDEX('Bibliothèque MP INRA'!$R:$R,MATCH($A4,'Bibliothèque MP INRA'!$C:$C,0)),"")</f>
        <v>0.02</v>
      </c>
      <c r="AB4">
        <f t="shared" ref="AB4:AB33" si="11">IFERROR(D4*AA4/100,"")</f>
        <v>1.65E-3</v>
      </c>
      <c r="AC4">
        <f>IFERROR(INDEX('Bibliothèque MP INRA'!$Q:$Q,MATCH($A4,'Bibliothèque MP INRA'!$C:$C,0)),"")</f>
        <v>1.1000000000000001</v>
      </c>
      <c r="AD4">
        <f t="shared" ref="AD4:AD33" si="12">IFERROR(D4*AC4/100,"")</f>
        <v>9.0750000000000011E-2</v>
      </c>
      <c r="AE4">
        <f>IFERROR(INDEX('Bibliothèque MP INRA'!$S:$S,MATCH($A4,'Bibliothèque MP INRA'!$C:$C,0)),"")</f>
        <v>0</v>
      </c>
      <c r="AF4">
        <f t="shared" ref="AF4:AF33" si="13">IFERROR($B4*AE4/1000,"")</f>
        <v>0</v>
      </c>
    </row>
    <row r="5" spans="1:32" x14ac:dyDescent="0.35">
      <c r="A5" t="s">
        <v>58</v>
      </c>
      <c r="B5">
        <v>1</v>
      </c>
      <c r="C5">
        <f>IFERROR(INDEX('Bibliothèque MP INRA'!$D:$D,MATCH($A5,'Bibliothèque MP INRA'!$C:$C,0)),"")</f>
        <v>90</v>
      </c>
      <c r="D5">
        <f t="shared" si="0"/>
        <v>0.9</v>
      </c>
      <c r="E5">
        <f>IFERROR(INDEX('Bibliothèque MP INRA'!$E:$E,MATCH($A5,'Bibliothèque MP INRA'!$C:$C,0)),"")</f>
        <v>0.38</v>
      </c>
      <c r="F5">
        <f t="shared" si="1"/>
        <v>0.34200000000000003</v>
      </c>
      <c r="G5">
        <f>IFERROR(INDEX('Bibliothèque MP INRA'!$I:$I,MATCH($A5,'Bibliothèque MP INRA'!$C:$C,0)),"")</f>
        <v>4</v>
      </c>
      <c r="H5">
        <f t="shared" si="2"/>
        <v>3.6000000000000004E-2</v>
      </c>
      <c r="I5">
        <f>IFERROR(INDEX('Bibliothèque MP INRA'!$G:$G,MATCH($A5,'Bibliothèque MP INRA'!$C:$C,0)),"")</f>
        <v>22</v>
      </c>
      <c r="J5">
        <f t="shared" si="3"/>
        <v>19.8</v>
      </c>
      <c r="K5">
        <f>IFERROR(INDEX('Bibliothèque MP INRA'!$H:$H,MATCH($A5,'Bibliothèque MP INRA'!$C:$C,0)),"")</f>
        <v>28</v>
      </c>
      <c r="L5">
        <f t="shared" si="4"/>
        <v>25.2</v>
      </c>
      <c r="M5">
        <f>IFERROR(INDEX('Bibliothèque MP INRA'!$J:$J,MATCH($A5,'Bibliothèque MP INRA'!$C:$C,0)),"")</f>
        <v>0</v>
      </c>
      <c r="N5">
        <f t="shared" si="5"/>
        <v>0</v>
      </c>
      <c r="O5">
        <f>IFERROR(INDEX('Bibliothèque MP INRA'!$K:$K,MATCH($A5,'Bibliothèque MP INRA'!$C:$C,0)),"")</f>
        <v>1</v>
      </c>
      <c r="P5">
        <f t="shared" si="6"/>
        <v>9.0000000000000011E-3</v>
      </c>
      <c r="Q5">
        <f>IFERROR(INDEX('Bibliothèque MP INRA'!$L:$L,MATCH($A5,'Bibliothèque MP INRA'!$C:$C,0)),"")</f>
        <v>75</v>
      </c>
      <c r="R5">
        <f t="shared" si="7"/>
        <v>0.67500000000000004</v>
      </c>
      <c r="S5">
        <f>IFERROR(INDEX('Bibliothèque MP INRA'!$M:$M,MATCH($A5,'Bibliothèque MP INRA'!$C:$C,0)),"")</f>
        <v>50</v>
      </c>
      <c r="T5">
        <f t="shared" si="8"/>
        <v>0.45</v>
      </c>
      <c r="U5">
        <f>IFERROR(INDEX('Bibliothèque MP INRA'!$N:$N,MATCH($A5,'Bibliothèque MP INRA'!$C:$C,0)),"")</f>
        <v>1.3</v>
      </c>
      <c r="V5">
        <f t="shared" si="9"/>
        <v>1.1700000000000002E-2</v>
      </c>
      <c r="W5">
        <f>IFERROR(INDEX('Bibliothèque MP INRA'!$O:$O,MATCH($A5,'Bibliothèque MP INRA'!$C:$C,0)),"")</f>
        <v>0.18</v>
      </c>
      <c r="X5">
        <f>IFERROR(D5*W5/100,"")</f>
        <v>1.6200000000000001E-3</v>
      </c>
      <c r="Y5">
        <f>IFERROR(INDEX('Bibliothèque MP INRA'!$P:$P,MATCH($A5,'Bibliothèque MP INRA'!$C:$C,0)),"")</f>
        <v>0.1</v>
      </c>
      <c r="Z5">
        <f t="shared" si="10"/>
        <v>9.0000000000000008E-4</v>
      </c>
      <c r="AA5">
        <f>IFERROR(INDEX('Bibliothèque MP INRA'!$R:$R,MATCH($A5,'Bibliothèque MP INRA'!$C:$C,0)),"")</f>
        <v>0.02</v>
      </c>
      <c r="AB5">
        <f t="shared" si="11"/>
        <v>1.8000000000000001E-4</v>
      </c>
      <c r="AC5">
        <f>IFERROR(INDEX('Bibliothèque MP INRA'!$Q:$Q,MATCH($A5,'Bibliothèque MP INRA'!$C:$C,0)),"")</f>
        <v>1.2</v>
      </c>
      <c r="AD5">
        <f t="shared" si="12"/>
        <v>1.0800000000000001E-2</v>
      </c>
      <c r="AE5">
        <f>IFERROR(INDEX('Bibliothèque MP INRA'!$S:$S,MATCH($A5,'Bibliothèque MP INRA'!$C:$C,0)),"")</f>
        <v>0</v>
      </c>
      <c r="AF5">
        <f t="shared" si="13"/>
        <v>0</v>
      </c>
    </row>
    <row r="6" spans="1:32" x14ac:dyDescent="0.35">
      <c r="A6" t="s">
        <v>71</v>
      </c>
      <c r="B6">
        <v>2</v>
      </c>
      <c r="C6">
        <f>IFERROR(INDEX('Bibliothèque MP INRA'!$D:$D,MATCH($A6,'Bibliothèque MP INRA'!$C:$C,0)),"")</f>
        <v>87</v>
      </c>
      <c r="D6">
        <f t="shared" si="0"/>
        <v>1.74</v>
      </c>
      <c r="E6">
        <f>IFERROR(INDEX('Bibliothèque MP INRA'!$E:$E,MATCH($A6,'Bibliothèque MP INRA'!$C:$C,0)),"")</f>
        <v>1.18</v>
      </c>
      <c r="F6">
        <f t="shared" si="1"/>
        <v>2.0531999999999999</v>
      </c>
      <c r="G6">
        <f>IFERROR(INDEX('Bibliothèque MP INRA'!$I:$I,MATCH($A6,'Bibliothèque MP INRA'!$C:$C,0)),"")</f>
        <v>9</v>
      </c>
      <c r="H6">
        <f t="shared" si="2"/>
        <v>0.15659999999999999</v>
      </c>
      <c r="I6">
        <f>IFERROR(INDEX('Bibliothèque MP INRA'!$G:$G,MATCH($A6,'Bibliothèque MP INRA'!$C:$C,0)),"")</f>
        <v>65</v>
      </c>
      <c r="J6">
        <f t="shared" si="3"/>
        <v>113.1</v>
      </c>
      <c r="K6">
        <f>IFERROR(INDEX('Bibliothèque MP INRA'!$H:$H,MATCH($A6,'Bibliothèque MP INRA'!$C:$C,0)),"")</f>
        <v>95</v>
      </c>
      <c r="L6">
        <f t="shared" si="4"/>
        <v>165.3</v>
      </c>
      <c r="M6">
        <f>IFERROR(INDEX('Bibliothèque MP INRA'!$J:$J,MATCH($A6,'Bibliothèque MP INRA'!$C:$C,0)),"")</f>
        <v>70</v>
      </c>
      <c r="N6">
        <f t="shared" si="5"/>
        <v>1.218</v>
      </c>
      <c r="O6">
        <f>IFERROR(INDEX('Bibliothèque MP INRA'!$K:$K,MATCH($A6,'Bibliothèque MP INRA'!$C:$C,0)),"")</f>
        <v>2</v>
      </c>
      <c r="P6">
        <f t="shared" si="6"/>
        <v>3.4799999999999998E-2</v>
      </c>
      <c r="Q6">
        <f>IFERROR(INDEX('Bibliothèque MP INRA'!$L:$L,MATCH($A6,'Bibliothèque MP INRA'!$C:$C,0)),"")</f>
        <v>12</v>
      </c>
      <c r="R6">
        <f t="shared" si="7"/>
        <v>0.20879999999999999</v>
      </c>
      <c r="S6">
        <f>IFERROR(INDEX('Bibliothèque MP INRA'!$M:$M,MATCH($A6,'Bibliothèque MP INRA'!$C:$C,0)),"")</f>
        <v>4</v>
      </c>
      <c r="T6">
        <f t="shared" si="8"/>
        <v>6.9599999999999995E-2</v>
      </c>
      <c r="U6">
        <f>IFERROR(INDEX('Bibliothèque MP INRA'!$N:$N,MATCH($A6,'Bibliothèque MP INRA'!$C:$C,0)),"")</f>
        <v>4</v>
      </c>
      <c r="V6">
        <f t="shared" si="9"/>
        <v>6.9599999999999995E-2</v>
      </c>
      <c r="W6">
        <f>IFERROR(INDEX('Bibliothèque MP INRA'!$O:$O,MATCH($A6,'Bibliothèque MP INRA'!$C:$C,0)),"")</f>
        <v>0.03</v>
      </c>
      <c r="X6">
        <f t="shared" ref="X6:X13" si="14">IFERROR(D6*W6,"")</f>
        <v>5.2199999999999996E-2</v>
      </c>
      <c r="Y6">
        <f>IFERROR(INDEX('Bibliothèque MP INRA'!$P:$P,MATCH($A6,'Bibliothèque MP INRA'!$C:$C,0)),"")</f>
        <v>0.28000000000000003</v>
      </c>
      <c r="Z6">
        <f t="shared" si="10"/>
        <v>4.8720000000000005E-3</v>
      </c>
      <c r="AA6">
        <f>IFERROR(INDEX('Bibliothèque MP INRA'!$R:$R,MATCH($A6,'Bibliothèque MP INRA'!$C:$C,0)),"")</f>
        <v>0.02</v>
      </c>
      <c r="AB6">
        <f t="shared" si="11"/>
        <v>3.48E-4</v>
      </c>
      <c r="AC6">
        <f>IFERROR(INDEX('Bibliothèque MP INRA'!$Q:$Q,MATCH($A6,'Bibliothèque MP INRA'!$C:$C,0)),"")</f>
        <v>0.4</v>
      </c>
      <c r="AD6">
        <f t="shared" si="12"/>
        <v>6.9600000000000009E-3</v>
      </c>
      <c r="AE6">
        <f>IFERROR(INDEX('Bibliothèque MP INRA'!$S:$S,MATCH($A6,'Bibliothèque MP INRA'!$C:$C,0)),"")</f>
        <v>0</v>
      </c>
      <c r="AF6">
        <f t="shared" si="13"/>
        <v>0</v>
      </c>
    </row>
    <row r="7" spans="1:32" x14ac:dyDescent="0.35">
      <c r="A7" t="s">
        <v>75</v>
      </c>
      <c r="B7">
        <v>1</v>
      </c>
      <c r="C7">
        <f>IFERROR(INDEX('Bibliothèque MP INRA'!$D:$D,MATCH($A7,'Bibliothèque MP INRA'!$C:$C,0)),"")</f>
        <v>87</v>
      </c>
      <c r="D7">
        <f t="shared" si="0"/>
        <v>0.87</v>
      </c>
      <c r="E7">
        <f>IFERROR(INDEX('Bibliothèque MP INRA'!$E:$E,MATCH($A7,'Bibliothèque MP INRA'!$C:$C,0)),"")</f>
        <v>1.1000000000000001</v>
      </c>
      <c r="F7">
        <f t="shared" si="1"/>
        <v>0.95700000000000007</v>
      </c>
      <c r="G7">
        <f>IFERROR(INDEX('Bibliothèque MP INRA'!$I:$I,MATCH($A7,'Bibliothèque MP INRA'!$C:$C,0)),"")</f>
        <v>11</v>
      </c>
      <c r="H7">
        <f t="shared" si="2"/>
        <v>9.5700000000000007E-2</v>
      </c>
      <c r="I7">
        <f>IFERROR(INDEX('Bibliothèque MP INRA'!$G:$G,MATCH($A7,'Bibliothèque MP INRA'!$C:$C,0)),"")</f>
        <v>90</v>
      </c>
      <c r="J7">
        <f t="shared" si="3"/>
        <v>78.3</v>
      </c>
      <c r="K7">
        <f>IFERROR(INDEX('Bibliothèque MP INRA'!$H:$H,MATCH($A7,'Bibliothèque MP INRA'!$C:$C,0)),"")</f>
        <v>105</v>
      </c>
      <c r="L7">
        <f t="shared" si="4"/>
        <v>91.35</v>
      </c>
      <c r="M7">
        <f>IFERROR(INDEX('Bibliothèque MP INRA'!$J:$J,MATCH($A7,'Bibliothèque MP INRA'!$C:$C,0)),"")</f>
        <v>58</v>
      </c>
      <c r="N7">
        <f t="shared" si="5"/>
        <v>0.50460000000000005</v>
      </c>
      <c r="O7">
        <f>IFERROR(INDEX('Bibliothèque MP INRA'!$K:$K,MATCH($A7,'Bibliothèque MP INRA'!$C:$C,0)),"")</f>
        <v>3</v>
      </c>
      <c r="P7">
        <f t="shared" si="6"/>
        <v>2.6099999999999998E-2</v>
      </c>
      <c r="Q7">
        <f>IFERROR(INDEX('Bibliothèque MP INRA'!$L:$L,MATCH($A7,'Bibliothèque MP INRA'!$C:$C,0)),"")</f>
        <v>18</v>
      </c>
      <c r="R7">
        <f t="shared" si="7"/>
        <v>0.15659999999999999</v>
      </c>
      <c r="S7">
        <f>IFERROR(INDEX('Bibliothèque MP INRA'!$M:$M,MATCH($A7,'Bibliothèque MP INRA'!$C:$C,0)),"")</f>
        <v>6</v>
      </c>
      <c r="T7">
        <f t="shared" si="8"/>
        <v>5.2199999999999996E-2</v>
      </c>
      <c r="U7">
        <f>IFERROR(INDEX('Bibliothèque MP INRA'!$N:$N,MATCH($A7,'Bibliothèque MP INRA'!$C:$C,0)),"")</f>
        <v>2.5</v>
      </c>
      <c r="V7">
        <f t="shared" si="9"/>
        <v>2.1749999999999999E-2</v>
      </c>
      <c r="W7">
        <f>IFERROR(INDEX('Bibliothèque MP INRA'!$O:$O,MATCH($A7,'Bibliothèque MP INRA'!$C:$C,0)),"")</f>
        <v>0.06</v>
      </c>
      <c r="X7">
        <f t="shared" si="14"/>
        <v>5.2199999999999996E-2</v>
      </c>
      <c r="Y7">
        <f>IFERROR(INDEX('Bibliothèque MP INRA'!$P:$P,MATCH($A7,'Bibliothèque MP INRA'!$C:$C,0)),"")</f>
        <v>0.38</v>
      </c>
      <c r="Z7">
        <f t="shared" si="10"/>
        <v>3.3059999999999999E-3</v>
      </c>
      <c r="AA7">
        <f>IFERROR(INDEX('Bibliothèque MP INRA'!$R:$R,MATCH($A7,'Bibliothèque MP INRA'!$C:$C,0)),"")</f>
        <v>0.02</v>
      </c>
      <c r="AB7">
        <f t="shared" si="11"/>
        <v>1.74E-4</v>
      </c>
      <c r="AC7">
        <f>IFERROR(INDEX('Bibliothèque MP INRA'!$Q:$Q,MATCH($A7,'Bibliothèque MP INRA'!$C:$C,0)),"")</f>
        <v>0.5</v>
      </c>
      <c r="AD7">
        <f t="shared" si="12"/>
        <v>4.3499999999999997E-3</v>
      </c>
      <c r="AE7">
        <f>IFERROR(INDEX('Bibliothèque MP INRA'!$S:$S,MATCH($A7,'Bibliothèque MP INRA'!$C:$C,0)),"")</f>
        <v>0</v>
      </c>
      <c r="AF7">
        <f t="shared" si="13"/>
        <v>0</v>
      </c>
    </row>
    <row r="8" spans="1:32" x14ac:dyDescent="0.35">
      <c r="A8" t="s">
        <v>73</v>
      </c>
      <c r="C8">
        <f>IFERROR(INDEX('Bibliothèque MP INRA'!$D:$D,MATCH($A8,'Bibliothèque MP INRA'!$C:$C,0)),"")</f>
        <v>88</v>
      </c>
      <c r="D8">
        <f t="shared" si="0"/>
        <v>0</v>
      </c>
      <c r="E8">
        <f>IFERROR(INDEX('Bibliothèque MP INRA'!$E:$E,MATCH($A8,'Bibliothèque MP INRA'!$C:$C,0)),"")</f>
        <v>1.2</v>
      </c>
      <c r="F8">
        <f t="shared" si="1"/>
        <v>0</v>
      </c>
      <c r="G8">
        <f>IFERROR(INDEX('Bibliothèque MP INRA'!$I:$I,MATCH($A8,'Bibliothèque MP INRA'!$C:$C,0)),"")</f>
        <v>13</v>
      </c>
      <c r="H8">
        <f t="shared" si="2"/>
        <v>0</v>
      </c>
      <c r="I8">
        <f>IFERROR(INDEX('Bibliothèque MP INRA'!$G:$G,MATCH($A8,'Bibliothèque MP INRA'!$C:$C,0)),"")</f>
        <v>85</v>
      </c>
      <c r="J8">
        <f t="shared" si="3"/>
        <v>0</v>
      </c>
      <c r="K8">
        <f>IFERROR(INDEX('Bibliothèque MP INRA'!$H:$H,MATCH($A8,'Bibliothèque MP INRA'!$C:$C,0)),"")</f>
        <v>110</v>
      </c>
      <c r="L8">
        <f t="shared" si="4"/>
        <v>0</v>
      </c>
      <c r="M8">
        <f>IFERROR(INDEX('Bibliothèque MP INRA'!$J:$J,MATCH($A8,'Bibliothèque MP INRA'!$C:$C,0)),"")</f>
        <v>62</v>
      </c>
      <c r="N8">
        <f t="shared" si="5"/>
        <v>0</v>
      </c>
      <c r="O8">
        <f>IFERROR(INDEX('Bibliothèque MP INRA'!$K:$K,MATCH($A8,'Bibliothèque MP INRA'!$C:$C,0)),"")</f>
        <v>3</v>
      </c>
      <c r="P8">
        <f t="shared" si="6"/>
        <v>0</v>
      </c>
      <c r="Q8">
        <f>IFERROR(INDEX('Bibliothèque MP INRA'!$L:$L,MATCH($A8,'Bibliothèque MP INRA'!$C:$C,0)),"")</f>
        <v>14</v>
      </c>
      <c r="R8">
        <f t="shared" si="7"/>
        <v>0</v>
      </c>
      <c r="S8">
        <f>IFERROR(INDEX('Bibliothèque MP INRA'!$M:$M,MATCH($A8,'Bibliothèque MP INRA'!$C:$C,0)),"")</f>
        <v>4</v>
      </c>
      <c r="T8">
        <f t="shared" si="8"/>
        <v>0</v>
      </c>
      <c r="U8">
        <f>IFERROR(INDEX('Bibliothèque MP INRA'!$N:$N,MATCH($A8,'Bibliothèque MP INRA'!$C:$C,0)),"")</f>
        <v>2</v>
      </c>
      <c r="V8">
        <f t="shared" si="9"/>
        <v>0</v>
      </c>
      <c r="W8">
        <f>IFERROR(INDEX('Bibliothèque MP INRA'!$O:$O,MATCH($A8,'Bibliothèque MP INRA'!$C:$C,0)),"")</f>
        <v>0.05</v>
      </c>
      <c r="X8">
        <f t="shared" si="14"/>
        <v>0</v>
      </c>
      <c r="Y8">
        <f>IFERROR(INDEX('Bibliothèque MP INRA'!$P:$P,MATCH($A8,'Bibliothèque MP INRA'!$C:$C,0)),"")</f>
        <v>0.35</v>
      </c>
      <c r="Z8">
        <f t="shared" si="10"/>
        <v>0</v>
      </c>
      <c r="AA8">
        <f>IFERROR(INDEX('Bibliothèque MP INRA'!$R:$R,MATCH($A8,'Bibliothèque MP INRA'!$C:$C,0)),"")</f>
        <v>0.02</v>
      </c>
      <c r="AB8">
        <f t="shared" si="11"/>
        <v>0</v>
      </c>
      <c r="AC8">
        <f>IFERROR(INDEX('Bibliothèque MP INRA'!$Q:$Q,MATCH($A8,'Bibliothèque MP INRA'!$C:$C,0)),"")</f>
        <v>0.5</v>
      </c>
      <c r="AD8">
        <f t="shared" si="12"/>
        <v>0</v>
      </c>
      <c r="AE8">
        <f>IFERROR(INDEX('Bibliothèque MP INRA'!$S:$S,MATCH($A8,'Bibliothèque MP INRA'!$C:$C,0)),"")</f>
        <v>0</v>
      </c>
      <c r="AF8">
        <f t="shared" si="13"/>
        <v>0</v>
      </c>
    </row>
    <row r="9" spans="1:32" x14ac:dyDescent="0.35">
      <c r="A9" t="s">
        <v>88</v>
      </c>
      <c r="B9">
        <v>1</v>
      </c>
      <c r="C9">
        <f>IFERROR(INDEX('Bibliothèque MP INRA'!$D:$D,MATCH($A9,'Bibliothèque MP INRA'!$C:$C,0)),"")</f>
        <v>89</v>
      </c>
      <c r="D9">
        <f t="shared" si="0"/>
        <v>0.89</v>
      </c>
      <c r="E9">
        <f>IFERROR(INDEX('Bibliothèque MP INRA'!$E:$E,MATCH($A9,'Bibliothèque MP INRA'!$C:$C,0)),"")</f>
        <v>1</v>
      </c>
      <c r="F9">
        <f t="shared" si="1"/>
        <v>0.89</v>
      </c>
      <c r="G9">
        <f>IFERROR(INDEX('Bibliothèque MP INRA'!$I:$I,MATCH($A9,'Bibliothèque MP INRA'!$C:$C,0)),"")</f>
        <v>25</v>
      </c>
      <c r="H9">
        <f t="shared" si="2"/>
        <v>0.2225</v>
      </c>
      <c r="I9">
        <f>IFERROR(INDEX('Bibliothèque MP INRA'!$G:$G,MATCH($A9,'Bibliothèque MP INRA'!$C:$C,0)),"")</f>
        <v>120</v>
      </c>
      <c r="J9">
        <f t="shared" si="3"/>
        <v>106.8</v>
      </c>
      <c r="K9">
        <f>IFERROR(INDEX('Bibliothèque MP INRA'!$H:$H,MATCH($A9,'Bibliothèque MP INRA'!$C:$C,0)),"")</f>
        <v>105</v>
      </c>
      <c r="L9">
        <f t="shared" si="4"/>
        <v>93.45</v>
      </c>
      <c r="M9">
        <f>IFERROR(INDEX('Bibliothèque MP INRA'!$J:$J,MATCH($A9,'Bibliothèque MP INRA'!$C:$C,0)),"")</f>
        <v>2</v>
      </c>
      <c r="N9">
        <f t="shared" si="5"/>
        <v>1.78E-2</v>
      </c>
      <c r="O9">
        <f>IFERROR(INDEX('Bibliothèque MP INRA'!$K:$K,MATCH($A9,'Bibliothèque MP INRA'!$C:$C,0)),"")</f>
        <v>4</v>
      </c>
      <c r="P9">
        <f t="shared" si="6"/>
        <v>3.56E-2</v>
      </c>
      <c r="Q9">
        <f>IFERROR(INDEX('Bibliothèque MP INRA'!$L:$L,MATCH($A9,'Bibliothèque MP INRA'!$C:$C,0)),"")</f>
        <v>18</v>
      </c>
      <c r="R9">
        <f t="shared" si="7"/>
        <v>0.16020000000000001</v>
      </c>
      <c r="S9">
        <f>IFERROR(INDEX('Bibliothèque MP INRA'!$M:$M,MATCH($A9,'Bibliothèque MP INRA'!$C:$C,0)),"")</f>
        <v>12</v>
      </c>
      <c r="T9">
        <f t="shared" si="8"/>
        <v>0.10679999999999999</v>
      </c>
      <c r="U9">
        <f>IFERROR(INDEX('Bibliothèque MP INRA'!$N:$N,MATCH($A9,'Bibliothèque MP INRA'!$C:$C,0)),"")</f>
        <v>2</v>
      </c>
      <c r="V9">
        <f t="shared" si="9"/>
        <v>1.78E-2</v>
      </c>
      <c r="W9">
        <f>IFERROR(INDEX('Bibliothèque MP INRA'!$O:$O,MATCH($A9,'Bibliothèque MP INRA'!$C:$C,0)),"")</f>
        <v>0.3</v>
      </c>
      <c r="X9">
        <f t="shared" si="14"/>
        <v>0.26700000000000002</v>
      </c>
      <c r="Y9">
        <f>IFERROR(INDEX('Bibliothèque MP INRA'!$P:$P,MATCH($A9,'Bibliothèque MP INRA'!$C:$C,0)),"")</f>
        <v>0.4</v>
      </c>
      <c r="Z9">
        <f t="shared" si="10"/>
        <v>3.5600000000000002E-3</v>
      </c>
      <c r="AA9">
        <f>IFERROR(INDEX('Bibliothèque MP INRA'!$R:$R,MATCH($A9,'Bibliothèque MP INRA'!$C:$C,0)),"")</f>
        <v>0.03</v>
      </c>
      <c r="AB9">
        <f t="shared" si="11"/>
        <v>2.6699999999999998E-4</v>
      </c>
      <c r="AC9">
        <f>IFERROR(INDEX('Bibliothèque MP INRA'!$Q:$Q,MATCH($A9,'Bibliothèque MP INRA'!$C:$C,0)),"")</f>
        <v>1.2</v>
      </c>
      <c r="AD9">
        <f t="shared" si="12"/>
        <v>1.068E-2</v>
      </c>
      <c r="AE9">
        <f>IFERROR(INDEX('Bibliothèque MP INRA'!$S:$S,MATCH($A9,'Bibliothèque MP INRA'!$C:$C,0)),"")</f>
        <v>0</v>
      </c>
      <c r="AF9">
        <f t="shared" si="13"/>
        <v>0</v>
      </c>
    </row>
    <row r="10" spans="1:32" x14ac:dyDescent="0.35">
      <c r="A10" t="s">
        <v>90</v>
      </c>
      <c r="B10">
        <v>2</v>
      </c>
      <c r="C10">
        <f>IFERROR(INDEX('Bibliothèque MP INRA'!$D:$D,MATCH($A10,'Bibliothèque MP INRA'!$C:$C,0)),"")</f>
        <v>89</v>
      </c>
      <c r="D10">
        <f t="shared" si="0"/>
        <v>1.78</v>
      </c>
      <c r="E10">
        <f>IFERROR(INDEX('Bibliothèque MP INRA'!$E:$E,MATCH($A10,'Bibliothèque MP INRA'!$C:$C,0)),"")</f>
        <v>1.03</v>
      </c>
      <c r="F10">
        <f t="shared" si="1"/>
        <v>1.8334000000000001</v>
      </c>
      <c r="G10">
        <f>IFERROR(INDEX('Bibliothèque MP INRA'!$I:$I,MATCH($A10,'Bibliothèque MP INRA'!$C:$C,0)),"")</f>
        <v>27</v>
      </c>
      <c r="H10">
        <f t="shared" si="2"/>
        <v>0.48060000000000003</v>
      </c>
      <c r="I10">
        <f>IFERROR(INDEX('Bibliothèque MP INRA'!$G:$G,MATCH($A10,'Bibliothèque MP INRA'!$C:$C,0)),"")</f>
        <v>128</v>
      </c>
      <c r="J10">
        <f t="shared" si="3"/>
        <v>227.84</v>
      </c>
      <c r="K10">
        <f>IFERROR(INDEX('Bibliothèque MP INRA'!$H:$H,MATCH($A10,'Bibliothèque MP INRA'!$C:$C,0)),"")</f>
        <v>112</v>
      </c>
      <c r="L10">
        <f t="shared" si="4"/>
        <v>199.36</v>
      </c>
      <c r="M10">
        <f>IFERROR(INDEX('Bibliothèque MP INRA'!$J:$J,MATCH($A10,'Bibliothèque MP INRA'!$C:$C,0)),"")</f>
        <v>3</v>
      </c>
      <c r="N10">
        <f t="shared" si="5"/>
        <v>5.3399999999999996E-2</v>
      </c>
      <c r="O10">
        <f>IFERROR(INDEX('Bibliothèque MP INRA'!$K:$K,MATCH($A10,'Bibliothèque MP INRA'!$C:$C,0)),"")</f>
        <v>4</v>
      </c>
      <c r="P10">
        <f t="shared" si="6"/>
        <v>7.1199999999999999E-2</v>
      </c>
      <c r="Q10">
        <f>IFERROR(INDEX('Bibliothèque MP INRA'!$L:$L,MATCH($A10,'Bibliothèque MP INRA'!$C:$C,0)),"")</f>
        <v>19</v>
      </c>
      <c r="R10">
        <f t="shared" si="7"/>
        <v>0.3382</v>
      </c>
      <c r="S10">
        <f>IFERROR(INDEX('Bibliothèque MP INRA'!$M:$M,MATCH($A10,'Bibliothèque MP INRA'!$C:$C,0)),"")</f>
        <v>13</v>
      </c>
      <c r="T10">
        <f t="shared" si="8"/>
        <v>0.23139999999999999</v>
      </c>
      <c r="U10">
        <f>IFERROR(INDEX('Bibliothèque MP INRA'!$N:$N,MATCH($A10,'Bibliothèque MP INRA'!$C:$C,0)),"")</f>
        <v>3</v>
      </c>
      <c r="V10">
        <f t="shared" si="9"/>
        <v>5.3399999999999996E-2</v>
      </c>
      <c r="W10">
        <f>IFERROR(INDEX('Bibliothèque MP INRA'!$O:$O,MATCH($A10,'Bibliothèque MP INRA'!$C:$C,0)),"")</f>
        <v>0.3</v>
      </c>
      <c r="X10">
        <f t="shared" si="14"/>
        <v>0.53400000000000003</v>
      </c>
      <c r="Y10">
        <f>IFERROR(INDEX('Bibliothèque MP INRA'!$P:$P,MATCH($A10,'Bibliothèque MP INRA'!$C:$C,0)),"")</f>
        <v>0.4</v>
      </c>
      <c r="Z10">
        <f t="shared" si="10"/>
        <v>7.1200000000000005E-3</v>
      </c>
      <c r="AA10">
        <f>IFERROR(INDEX('Bibliothèque MP INRA'!$R:$R,MATCH($A10,'Bibliothèque MP INRA'!$C:$C,0)),"")</f>
        <v>0.03</v>
      </c>
      <c r="AB10">
        <f t="shared" si="11"/>
        <v>5.3399999999999997E-4</v>
      </c>
      <c r="AC10">
        <f>IFERROR(INDEX('Bibliothèque MP INRA'!$Q:$Q,MATCH($A10,'Bibliothèque MP INRA'!$C:$C,0)),"")</f>
        <v>1.2</v>
      </c>
      <c r="AD10">
        <f t="shared" si="12"/>
        <v>2.1360000000000001E-2</v>
      </c>
      <c r="AE10">
        <f>IFERROR(INDEX('Bibliothèque MP INRA'!$S:$S,MATCH($A10,'Bibliothèque MP INRA'!$C:$C,0)),"")</f>
        <v>0</v>
      </c>
      <c r="AF10">
        <f t="shared" si="13"/>
        <v>0</v>
      </c>
    </row>
    <row r="11" spans="1:32" x14ac:dyDescent="0.35">
      <c r="A11" t="s">
        <v>119</v>
      </c>
      <c r="B11">
        <v>0.06</v>
      </c>
      <c r="C11">
        <f>IFERROR(INDEX('Bibliothèque MP INRA'!$D:$D,MATCH($A11,'Bibliothèque MP INRA'!$C:$C,0)),"")</f>
        <v>100</v>
      </c>
      <c r="D11">
        <f t="shared" si="0"/>
        <v>0.06</v>
      </c>
      <c r="E11">
        <f>IFERROR(INDEX('Bibliothèque MP INRA'!$E:$E,MATCH($A11,'Bibliothèque MP INRA'!$C:$C,0)),"")</f>
        <v>0</v>
      </c>
      <c r="F11">
        <f t="shared" si="1"/>
        <v>0</v>
      </c>
      <c r="G11">
        <f>IFERROR(INDEX('Bibliothèque MP INRA'!$I:$I,MATCH($A11,'Bibliothèque MP INRA'!$C:$C,0)),"")</f>
        <v>0</v>
      </c>
      <c r="H11">
        <f t="shared" si="2"/>
        <v>0</v>
      </c>
      <c r="I11">
        <f>IFERROR(INDEX('Bibliothèque MP INRA'!$G:$G,MATCH($A11,'Bibliothèque MP INRA'!$C:$C,0)),"")</f>
        <v>0</v>
      </c>
      <c r="J11">
        <f t="shared" si="3"/>
        <v>0</v>
      </c>
      <c r="K11">
        <f>IFERROR(INDEX('Bibliothèque MP INRA'!$H:$H,MATCH($A11,'Bibliothèque MP INRA'!$C:$C,0)),"")</f>
        <v>0</v>
      </c>
      <c r="L11">
        <f t="shared" si="4"/>
        <v>0</v>
      </c>
      <c r="M11">
        <f>IFERROR(INDEX('Bibliothèque MP INRA'!$J:$J,MATCH($A11,'Bibliothèque MP INRA'!$C:$C,0)),"")</f>
        <v>0</v>
      </c>
      <c r="N11">
        <f t="shared" si="5"/>
        <v>0</v>
      </c>
      <c r="O11">
        <f>IFERROR(INDEX('Bibliothèque MP INRA'!$K:$K,MATCH($A11,'Bibliothèque MP INRA'!$C:$C,0)),"")</f>
        <v>0</v>
      </c>
      <c r="P11">
        <f t="shared" si="6"/>
        <v>0</v>
      </c>
      <c r="Q11">
        <f>IFERROR(INDEX('Bibliothèque MP INRA'!$L:$L,MATCH($A11,'Bibliothèque MP INRA'!$C:$C,0)),"")</f>
        <v>0</v>
      </c>
      <c r="R11">
        <f t="shared" si="7"/>
        <v>0</v>
      </c>
      <c r="S11">
        <f>IFERROR(INDEX('Bibliothèque MP INRA'!$M:$M,MATCH($A11,'Bibliothèque MP INRA'!$C:$C,0)),"")</f>
        <v>0</v>
      </c>
      <c r="T11">
        <f t="shared" si="8"/>
        <v>0</v>
      </c>
      <c r="U11">
        <f>IFERROR(INDEX('Bibliothèque MP INRA'!$N:$N,MATCH($A11,'Bibliothèque MP INRA'!$C:$C,0)),"")</f>
        <v>0</v>
      </c>
      <c r="V11">
        <f t="shared" si="9"/>
        <v>0</v>
      </c>
      <c r="W11">
        <f>IFERROR(INDEX('Bibliothèque MP INRA'!$O:$O,MATCH($A11,'Bibliothèque MP INRA'!$C:$C,0)),"")</f>
        <v>0</v>
      </c>
      <c r="X11">
        <f t="shared" si="14"/>
        <v>0</v>
      </c>
      <c r="Y11">
        <f>IFERROR(INDEX('Bibliothèque MP INRA'!$P:$P,MATCH($A11,'Bibliothèque MP INRA'!$C:$C,0)),"")</f>
        <v>0</v>
      </c>
      <c r="Z11">
        <f t="shared" si="10"/>
        <v>0</v>
      </c>
      <c r="AA11">
        <f>IFERROR(INDEX('Bibliothèque MP INRA'!$R:$R,MATCH($A11,'Bibliothèque MP INRA'!$C:$C,0)),"")</f>
        <v>0</v>
      </c>
      <c r="AB11">
        <f t="shared" si="11"/>
        <v>0</v>
      </c>
      <c r="AC11">
        <f>IFERROR(INDEX('Bibliothèque MP INRA'!$Q:$Q,MATCH($A11,'Bibliothèque MP INRA'!$C:$C,0)),"")</f>
        <v>0</v>
      </c>
      <c r="AD11">
        <f t="shared" si="12"/>
        <v>0</v>
      </c>
      <c r="AE11">
        <f>IFERROR(INDEX('Bibliothèque MP INRA'!$S:$S,MATCH($A11,'Bibliothèque MP INRA'!$C:$C,0)),"")</f>
        <v>0</v>
      </c>
      <c r="AF11">
        <f t="shared" si="13"/>
        <v>0</v>
      </c>
    </row>
    <row r="12" spans="1:32" x14ac:dyDescent="0.35">
      <c r="A12" t="s">
        <v>114</v>
      </c>
      <c r="B12">
        <v>0.22</v>
      </c>
      <c r="C12">
        <f>IFERROR(INDEX('Bibliothèque MP INRA'!$D:$D,MATCH($A12,'Bibliothèque MP INRA'!$C:$C,0)),"")</f>
        <v>100</v>
      </c>
      <c r="D12">
        <f t="shared" si="0"/>
        <v>0.22</v>
      </c>
      <c r="E12">
        <f>IFERROR(INDEX('Bibliothèque MP INRA'!$E:$E,MATCH($A12,'Bibliothèque MP INRA'!$C:$C,0)),"")</f>
        <v>0</v>
      </c>
      <c r="F12">
        <f t="shared" si="1"/>
        <v>0</v>
      </c>
      <c r="G12">
        <f>IFERROR(INDEX('Bibliothèque MP INRA'!$I:$I,MATCH($A12,'Bibliothèque MP INRA'!$C:$C,0)),"")</f>
        <v>0</v>
      </c>
      <c r="H12">
        <f t="shared" si="2"/>
        <v>0</v>
      </c>
      <c r="I12">
        <f>IFERROR(INDEX('Bibliothèque MP INRA'!$G:$G,MATCH($A12,'Bibliothèque MP INRA'!$C:$C,0)),"")</f>
        <v>0</v>
      </c>
      <c r="J12">
        <f t="shared" si="3"/>
        <v>0</v>
      </c>
      <c r="K12">
        <f>IFERROR(INDEX('Bibliothèque MP INRA'!$H:$H,MATCH($A12,'Bibliothèque MP INRA'!$C:$C,0)),"")</f>
        <v>0</v>
      </c>
      <c r="L12">
        <f t="shared" si="4"/>
        <v>0</v>
      </c>
      <c r="M12">
        <f>IFERROR(INDEX('Bibliothèque MP INRA'!$J:$J,MATCH($A12,'Bibliothèque MP INRA'!$C:$C,0)),"")</f>
        <v>0</v>
      </c>
      <c r="N12">
        <f t="shared" si="5"/>
        <v>0</v>
      </c>
      <c r="O12">
        <f>IFERROR(INDEX('Bibliothèque MP INRA'!$K:$K,MATCH($A12,'Bibliothèque MP INRA'!$C:$C,0)),"")</f>
        <v>0</v>
      </c>
      <c r="P12">
        <f t="shared" si="6"/>
        <v>0</v>
      </c>
      <c r="Q12">
        <f>IFERROR(INDEX('Bibliothèque MP INRA'!$L:$L,MATCH($A12,'Bibliothèque MP INRA'!$C:$C,0)),"")</f>
        <v>0</v>
      </c>
      <c r="R12">
        <f t="shared" si="7"/>
        <v>0</v>
      </c>
      <c r="S12">
        <f>IFERROR(INDEX('Bibliothèque MP INRA'!$M:$M,MATCH($A12,'Bibliothèque MP INRA'!$C:$C,0)),"")</f>
        <v>0</v>
      </c>
      <c r="T12">
        <f t="shared" si="8"/>
        <v>0</v>
      </c>
      <c r="U12">
        <f>IFERROR(INDEX('Bibliothèque MP INRA'!$N:$N,MATCH($A12,'Bibliothèque MP INRA'!$C:$C,0)),"")</f>
        <v>0</v>
      </c>
      <c r="V12">
        <f t="shared" si="9"/>
        <v>0</v>
      </c>
      <c r="W12">
        <f>IFERROR(INDEX('Bibliothèque MP INRA'!$O:$O,MATCH($A12,'Bibliothèque MP INRA'!$C:$C,0)),"")</f>
        <v>0</v>
      </c>
      <c r="X12">
        <f t="shared" si="14"/>
        <v>0</v>
      </c>
      <c r="Y12">
        <f>IFERROR(INDEX('Bibliothèque MP INRA'!$P:$P,MATCH($A12,'Bibliothèque MP INRA'!$C:$C,0)),"")</f>
        <v>0</v>
      </c>
      <c r="Z12">
        <f t="shared" si="10"/>
        <v>0</v>
      </c>
      <c r="AA12">
        <f>IFERROR(INDEX('Bibliothèque MP INRA'!$R:$R,MATCH($A12,'Bibliothèque MP INRA'!$C:$C,0)),"")</f>
        <v>0</v>
      </c>
      <c r="AB12">
        <f t="shared" si="11"/>
        <v>0</v>
      </c>
      <c r="AC12">
        <f>IFERROR(INDEX('Bibliothèque MP INRA'!$Q:$Q,MATCH($A12,'Bibliothèque MP INRA'!$C:$C,0)),"")</f>
        <v>0</v>
      </c>
      <c r="AD12">
        <f t="shared" si="12"/>
        <v>0</v>
      </c>
      <c r="AE12">
        <f>IFERROR(INDEX('Bibliothèque MP INRA'!$S:$S,MATCH($A12,'Bibliothèque MP INRA'!$C:$C,0)),"")</f>
        <v>0</v>
      </c>
      <c r="AF12">
        <f t="shared" si="13"/>
        <v>0</v>
      </c>
    </row>
    <row r="13" spans="1:32" x14ac:dyDescent="0.35">
      <c r="A13" t="s">
        <v>244</v>
      </c>
      <c r="C13">
        <f>IFERROR(INDEX('Bibliothèque MP INRA'!$D:$D,MATCH($A13,'Bibliothèque MP INRA'!$C:$C,0)),"")</f>
        <v>100</v>
      </c>
      <c r="D13">
        <f t="shared" si="0"/>
        <v>0</v>
      </c>
      <c r="E13">
        <f>IFERROR(INDEX('Bibliothèque MP INRA'!$E:$E,MATCH($A13,'Bibliothèque MP INRA'!$C:$C,0)),"")</f>
        <v>0</v>
      </c>
      <c r="F13">
        <f t="shared" si="1"/>
        <v>0</v>
      </c>
      <c r="G13">
        <f>IFERROR(INDEX('Bibliothèque MP INRA'!$I:$I,MATCH($A13,'Bibliothèque MP INRA'!$C:$C,0)),"")</f>
        <v>0</v>
      </c>
      <c r="H13">
        <f t="shared" si="2"/>
        <v>0</v>
      </c>
      <c r="I13">
        <f>IFERROR(INDEX('Bibliothèque MP INRA'!$G:$G,MATCH($A13,'Bibliothèque MP INRA'!$C:$C,0)),"")</f>
        <v>0</v>
      </c>
      <c r="J13">
        <f t="shared" si="3"/>
        <v>0</v>
      </c>
      <c r="K13">
        <f>IFERROR(INDEX('Bibliothèque MP INRA'!$H:$H,MATCH($A13,'Bibliothèque MP INRA'!$C:$C,0)),"")</f>
        <v>0</v>
      </c>
      <c r="L13">
        <f t="shared" si="4"/>
        <v>0</v>
      </c>
      <c r="M13">
        <f>IFERROR(INDEX('Bibliothèque MP INRA'!$J:$J,MATCH($A13,'Bibliothèque MP INRA'!$C:$C,0)),"")</f>
        <v>0</v>
      </c>
      <c r="N13">
        <f t="shared" si="5"/>
        <v>0</v>
      </c>
      <c r="O13">
        <f>IFERROR(INDEX('Bibliothèque MP INRA'!$K:$K,MATCH($A13,'Bibliothèque MP INRA'!$C:$C,0)),"")</f>
        <v>0</v>
      </c>
      <c r="P13">
        <f t="shared" si="6"/>
        <v>0</v>
      </c>
      <c r="Q13">
        <f>IFERROR(INDEX('Bibliothèque MP INRA'!$L:$L,MATCH($A13,'Bibliothèque MP INRA'!$C:$C,0)),"")</f>
        <v>0</v>
      </c>
      <c r="R13">
        <f t="shared" si="7"/>
        <v>0</v>
      </c>
      <c r="S13">
        <f>IFERROR(INDEX('Bibliothèque MP INRA'!$M:$M,MATCH($A13,'Bibliothèque MP INRA'!$C:$C,0)),"")</f>
        <v>0</v>
      </c>
      <c r="T13">
        <f t="shared" si="8"/>
        <v>0</v>
      </c>
      <c r="U13">
        <f>IFERROR(INDEX('Bibliothèque MP INRA'!$N:$N,MATCH($A13,'Bibliothèque MP INRA'!$C:$C,0)),"")</f>
        <v>0</v>
      </c>
      <c r="V13">
        <f t="shared" si="9"/>
        <v>0</v>
      </c>
      <c r="W13">
        <f>IFERROR(INDEX('Bibliothèque MP INRA'!$O:$O,MATCH($A13,'Bibliothèque MP INRA'!$C:$C,0)),"")</f>
        <v>25</v>
      </c>
      <c r="X13">
        <f t="shared" si="14"/>
        <v>0</v>
      </c>
      <c r="Y13">
        <f>IFERROR(INDEX('Bibliothèque MP INRA'!$P:$P,MATCH($A13,'Bibliothèque MP INRA'!$C:$C,0)),"")</f>
        <v>5</v>
      </c>
      <c r="Z13">
        <f t="shared" si="10"/>
        <v>0</v>
      </c>
      <c r="AA13">
        <f>IFERROR(INDEX('Bibliothèque MP INRA'!$R:$R,MATCH($A13,'Bibliothèque MP INRA'!$C:$C,0)),"")</f>
        <v>0</v>
      </c>
      <c r="AB13">
        <f t="shared" si="11"/>
        <v>0</v>
      </c>
      <c r="AC13">
        <f>IFERROR(INDEX('Bibliothèque MP INRA'!$Q:$Q,MATCH($A13,'Bibliothèque MP INRA'!$C:$C,0)),"")</f>
        <v>0</v>
      </c>
      <c r="AD13">
        <f t="shared" si="12"/>
        <v>0</v>
      </c>
      <c r="AE13">
        <f>IFERROR(INDEX('Bibliothèque MP INRA'!$S:$S,MATCH($A13,'Bibliothèque MP INRA'!$C:$C,0)),"")</f>
        <v>0</v>
      </c>
      <c r="AF13">
        <f t="shared" si="13"/>
        <v>0</v>
      </c>
    </row>
    <row r="14" spans="1:32" x14ac:dyDescent="0.35">
      <c r="C14" t="str">
        <f>IFERROR(INDEX('Bibliothèque MP INRA'!$D:$D,MATCH($A14,'Bibliothèque MP INRA'!$C:$C,0)),"")</f>
        <v/>
      </c>
      <c r="D14" t="str">
        <f t="shared" si="0"/>
        <v/>
      </c>
      <c r="E14" t="str">
        <f>IFERROR(INDEX('Bibliothèque MP INRA'!$E:$E,MATCH($A14,'Bibliothèque MP INRA'!$C:$C,0)),"")</f>
        <v/>
      </c>
      <c r="F14" t="str">
        <f t="shared" si="1"/>
        <v/>
      </c>
      <c r="G14" t="str">
        <f>IFERROR(INDEX('Bibliothèque MP INRA'!$I:$I,MATCH($A14,'Bibliothèque MP INRA'!$C:$C,0)),"")</f>
        <v/>
      </c>
      <c r="H14" t="str">
        <f t="shared" si="2"/>
        <v/>
      </c>
      <c r="I14" t="str">
        <f>IFERROR(INDEX('Bibliothèque MP INRA'!$G:$G,MATCH($A14,'Bibliothèque MP INRA'!$C:$C,0)),"")</f>
        <v/>
      </c>
      <c r="J14" t="str">
        <f t="shared" si="3"/>
        <v/>
      </c>
      <c r="K14" t="str">
        <f>IFERROR(INDEX('Bibliothèque MP INRA'!$H:$H,MATCH($A14,'Bibliothèque MP INRA'!$C:$C,0)),"")</f>
        <v/>
      </c>
      <c r="L14" t="str">
        <f t="shared" si="4"/>
        <v/>
      </c>
      <c r="M14" t="str">
        <f>IFERROR(INDEX('Bibliothèque MP INRA'!$J:$J,MATCH($A14,'Bibliothèque MP INRA'!$C:$C,0)),"")</f>
        <v/>
      </c>
      <c r="N14" t="str">
        <f t="shared" ref="N14:N33" si="15">IFERROR(D14*M14/100,"")</f>
        <v/>
      </c>
      <c r="O14" t="str">
        <f>IFERROR(INDEX('Bibliothèque MP INRA'!$K:$K,MATCH($A14,'Bibliothèque MP INRA'!$C:$C,0)),"")</f>
        <v/>
      </c>
      <c r="P14" t="str">
        <f t="shared" si="6"/>
        <v/>
      </c>
      <c r="Q14" t="str">
        <f>IFERROR(INDEX('Bibliothèque MP INRA'!$L:$L,MATCH($A14,'Bibliothèque MP INRA'!$C:$C,0)),"")</f>
        <v/>
      </c>
      <c r="R14" t="str">
        <f t="shared" si="7"/>
        <v/>
      </c>
      <c r="S14" t="str">
        <f>IFERROR(INDEX('Bibliothèque MP INRA'!$M:$M,MATCH($A14,'Bibliothèque MP INRA'!$C:$C,0)),"")</f>
        <v/>
      </c>
      <c r="T14" t="str">
        <f t="shared" si="8"/>
        <v/>
      </c>
      <c r="U14" t="str">
        <f>IFERROR(INDEX('Bibliothèque MP INRA'!$N:$N,MATCH($A14,'Bibliothèque MP INRA'!$C:$C,0)),"")</f>
        <v/>
      </c>
      <c r="V14" t="str">
        <f t="shared" si="9"/>
        <v/>
      </c>
      <c r="W14" t="str">
        <f>IFERROR(INDEX('Bibliothèque MP INRA'!$O:$O,MATCH($A14,'Bibliothèque MP INRA'!$C:$C,0)),"")</f>
        <v/>
      </c>
      <c r="X14" t="str">
        <f t="shared" ref="X14:X33" si="16">IFERROR(D14*W14/100,"")</f>
        <v/>
      </c>
      <c r="Y14" t="str">
        <f>IFERROR(INDEX('Bibliothèque MP INRA'!$P:$P,MATCH($A14,'Bibliothèque MP INRA'!$C:$C,0)),"")</f>
        <v/>
      </c>
      <c r="Z14" t="str">
        <f t="shared" si="10"/>
        <v/>
      </c>
      <c r="AA14" t="str">
        <f>IFERROR(INDEX('Bibliothèque MP INRA'!$R:$R,MATCH($A14,'Bibliothèque MP INRA'!$C:$C,0)),"")</f>
        <v/>
      </c>
      <c r="AB14" t="str">
        <f t="shared" si="11"/>
        <v/>
      </c>
      <c r="AC14" t="str">
        <f>IFERROR(INDEX('Bibliothèque MP INRA'!$Q:$Q,MATCH($A14,'Bibliothèque MP INRA'!$C:$C,0)),"")</f>
        <v/>
      </c>
      <c r="AD14" t="str">
        <f t="shared" si="12"/>
        <v/>
      </c>
      <c r="AE14" t="str">
        <f>IFERROR(INDEX('Bibliothèque MP INRA'!$S:$S,MATCH($A14,'Bibliothèque MP INRA'!$C:$C,0)),"")</f>
        <v/>
      </c>
      <c r="AF14" t="str">
        <f t="shared" si="13"/>
        <v/>
      </c>
    </row>
    <row r="15" spans="1:32" x14ac:dyDescent="0.35">
      <c r="C15" t="str">
        <f>IFERROR(INDEX('Bibliothèque MP INRA'!$D:$D,MATCH($A15,'Bibliothèque MP INRA'!$C:$C,0)),"")</f>
        <v/>
      </c>
      <c r="D15" t="str">
        <f t="shared" si="0"/>
        <v/>
      </c>
      <c r="E15" t="str">
        <f>IFERROR(INDEX('Bibliothèque MP INRA'!$E:$E,MATCH($A15,'Bibliothèque MP INRA'!$C:$C,0)),"")</f>
        <v/>
      </c>
      <c r="F15" t="str">
        <f t="shared" si="1"/>
        <v/>
      </c>
      <c r="G15" t="str">
        <f>IFERROR(INDEX('Bibliothèque MP INRA'!$I:$I,MATCH($A15,'Bibliothèque MP INRA'!$C:$C,0)),"")</f>
        <v/>
      </c>
      <c r="H15" t="str">
        <f t="shared" si="2"/>
        <v/>
      </c>
      <c r="I15" t="str">
        <f>IFERROR(INDEX('Bibliothèque MP INRA'!$G:$G,MATCH($A15,'Bibliothèque MP INRA'!$C:$C,0)),"")</f>
        <v/>
      </c>
      <c r="J15" t="str">
        <f t="shared" si="3"/>
        <v/>
      </c>
      <c r="K15" t="str">
        <f>IFERROR(INDEX('Bibliothèque MP INRA'!$H:$H,MATCH($A15,'Bibliothèque MP INRA'!$C:$C,0)),"")</f>
        <v/>
      </c>
      <c r="L15" t="str">
        <f t="shared" si="4"/>
        <v/>
      </c>
      <c r="M15" t="str">
        <f>IFERROR(INDEX('Bibliothèque MP INRA'!$J:$J,MATCH($A15,'Bibliothèque MP INRA'!$C:$C,0)),"")</f>
        <v/>
      </c>
      <c r="N15" t="str">
        <f t="shared" si="15"/>
        <v/>
      </c>
      <c r="O15" t="str">
        <f>IFERROR(INDEX('Bibliothèque MP INRA'!$K:$K,MATCH($A15,'Bibliothèque MP INRA'!$C:$C,0)),"")</f>
        <v/>
      </c>
      <c r="P15" t="str">
        <f t="shared" si="6"/>
        <v/>
      </c>
      <c r="Q15" t="str">
        <f>IFERROR(INDEX('Bibliothèque MP INRA'!$L:$L,MATCH($A15,'Bibliothèque MP INRA'!$C:$C,0)),"")</f>
        <v/>
      </c>
      <c r="R15" t="str">
        <f t="shared" si="7"/>
        <v/>
      </c>
      <c r="S15" t="str">
        <f>IFERROR(INDEX('Bibliothèque MP INRA'!$M:$M,MATCH($A15,'Bibliothèque MP INRA'!$C:$C,0)),"")</f>
        <v/>
      </c>
      <c r="T15" t="str">
        <f t="shared" si="8"/>
        <v/>
      </c>
      <c r="U15" t="str">
        <f>IFERROR(INDEX('Bibliothèque MP INRA'!$N:$N,MATCH($A15,'Bibliothèque MP INRA'!$C:$C,0)),"")</f>
        <v/>
      </c>
      <c r="V15" t="str">
        <f t="shared" si="9"/>
        <v/>
      </c>
      <c r="W15" t="str">
        <f>IFERROR(INDEX('Bibliothèque MP INRA'!$O:$O,MATCH($A15,'Bibliothèque MP INRA'!$C:$C,0)),"")</f>
        <v/>
      </c>
      <c r="X15" t="str">
        <f t="shared" si="16"/>
        <v/>
      </c>
      <c r="Y15" t="str">
        <f>IFERROR(INDEX('Bibliothèque MP INRA'!$P:$P,MATCH($A15,'Bibliothèque MP INRA'!$C:$C,0)),"")</f>
        <v/>
      </c>
      <c r="Z15" t="str">
        <f t="shared" si="10"/>
        <v/>
      </c>
      <c r="AA15" t="str">
        <f>IFERROR(INDEX('Bibliothèque MP INRA'!$R:$R,MATCH($A15,'Bibliothèque MP INRA'!$C:$C,0)),"")</f>
        <v/>
      </c>
      <c r="AB15" t="str">
        <f t="shared" si="11"/>
        <v/>
      </c>
      <c r="AC15" t="str">
        <f>IFERROR(INDEX('Bibliothèque MP INRA'!$Q:$Q,MATCH($A15,'Bibliothèque MP INRA'!$C:$C,0)),"")</f>
        <v/>
      </c>
      <c r="AD15" t="str">
        <f t="shared" si="12"/>
        <v/>
      </c>
      <c r="AE15" t="str">
        <f>IFERROR(INDEX('Bibliothèque MP INRA'!$S:$S,MATCH($A15,'Bibliothèque MP INRA'!$C:$C,0)),"")</f>
        <v/>
      </c>
      <c r="AF15" t="str">
        <f t="shared" si="13"/>
        <v/>
      </c>
    </row>
    <row r="16" spans="1:32" x14ac:dyDescent="0.35">
      <c r="C16" t="str">
        <f>IFERROR(INDEX('Bibliothèque MP INRA'!$D:$D,MATCH($A16,'Bibliothèque MP INRA'!$C:$C,0)),"")</f>
        <v/>
      </c>
      <c r="D16" t="str">
        <f t="shared" si="0"/>
        <v/>
      </c>
      <c r="E16" t="str">
        <f>IFERROR(INDEX('Bibliothèque MP INRA'!$E:$E,MATCH($A16,'Bibliothèque MP INRA'!$C:$C,0)),"")</f>
        <v/>
      </c>
      <c r="F16" t="str">
        <f t="shared" si="1"/>
        <v/>
      </c>
      <c r="G16" t="str">
        <f>IFERROR(INDEX('Bibliothèque MP INRA'!$I:$I,MATCH($A16,'Bibliothèque MP INRA'!$C:$C,0)),"")</f>
        <v/>
      </c>
      <c r="H16" t="str">
        <f t="shared" si="2"/>
        <v/>
      </c>
      <c r="I16" t="str">
        <f>IFERROR(INDEX('Bibliothèque MP INRA'!$G:$G,MATCH($A16,'Bibliothèque MP INRA'!$C:$C,0)),"")</f>
        <v/>
      </c>
      <c r="J16" t="str">
        <f t="shared" si="3"/>
        <v/>
      </c>
      <c r="K16" t="str">
        <f>IFERROR(INDEX('Bibliothèque MP INRA'!$H:$H,MATCH($A16,'Bibliothèque MP INRA'!$C:$C,0)),"")</f>
        <v/>
      </c>
      <c r="L16" t="str">
        <f t="shared" si="4"/>
        <v/>
      </c>
      <c r="M16" t="str">
        <f>IFERROR(INDEX('Bibliothèque MP INRA'!$J:$J,MATCH($A16,'Bibliothèque MP INRA'!$C:$C,0)),"")</f>
        <v/>
      </c>
      <c r="N16" t="str">
        <f t="shared" si="15"/>
        <v/>
      </c>
      <c r="O16" t="str">
        <f>IFERROR(INDEX('Bibliothèque MP INRA'!$K:$K,MATCH($A16,'Bibliothèque MP INRA'!$C:$C,0)),"")</f>
        <v/>
      </c>
      <c r="P16" t="str">
        <f t="shared" si="6"/>
        <v/>
      </c>
      <c r="Q16" t="str">
        <f>IFERROR(INDEX('Bibliothèque MP INRA'!$L:$L,MATCH($A16,'Bibliothèque MP INRA'!$C:$C,0)),"")</f>
        <v/>
      </c>
      <c r="R16" t="str">
        <f t="shared" si="7"/>
        <v/>
      </c>
      <c r="S16" t="str">
        <f>IFERROR(INDEX('Bibliothèque MP INRA'!$M:$M,MATCH($A16,'Bibliothèque MP INRA'!$C:$C,0)),"")</f>
        <v/>
      </c>
      <c r="T16" t="str">
        <f t="shared" si="8"/>
        <v/>
      </c>
      <c r="U16" t="str">
        <f>IFERROR(INDEX('Bibliothèque MP INRA'!$N:$N,MATCH($A16,'Bibliothèque MP INRA'!$C:$C,0)),"")</f>
        <v/>
      </c>
      <c r="V16" t="str">
        <f t="shared" si="9"/>
        <v/>
      </c>
      <c r="W16" t="str">
        <f>IFERROR(INDEX('Bibliothèque MP INRA'!$O:$O,MATCH($A16,'Bibliothèque MP INRA'!$C:$C,0)),"")</f>
        <v/>
      </c>
      <c r="X16" t="str">
        <f t="shared" si="16"/>
        <v/>
      </c>
      <c r="Y16" t="str">
        <f>IFERROR(INDEX('Bibliothèque MP INRA'!$P:$P,MATCH($A16,'Bibliothèque MP INRA'!$C:$C,0)),"")</f>
        <v/>
      </c>
      <c r="Z16" t="str">
        <f t="shared" si="10"/>
        <v/>
      </c>
      <c r="AA16" t="str">
        <f>IFERROR(INDEX('Bibliothèque MP INRA'!$R:$R,MATCH($A16,'Bibliothèque MP INRA'!$C:$C,0)),"")</f>
        <v/>
      </c>
      <c r="AB16" t="str">
        <f t="shared" si="11"/>
        <v/>
      </c>
      <c r="AC16" t="str">
        <f>IFERROR(INDEX('Bibliothèque MP INRA'!$Q:$Q,MATCH($A16,'Bibliothèque MP INRA'!$C:$C,0)),"")</f>
        <v/>
      </c>
      <c r="AD16" t="str">
        <f t="shared" si="12"/>
        <v/>
      </c>
      <c r="AE16" t="str">
        <f>IFERROR(INDEX('Bibliothèque MP INRA'!$S:$S,MATCH($A16,'Bibliothèque MP INRA'!$C:$C,0)),"")</f>
        <v/>
      </c>
      <c r="AF16" t="str">
        <f t="shared" si="13"/>
        <v/>
      </c>
    </row>
    <row r="17" spans="3:32" x14ac:dyDescent="0.35">
      <c r="C17" t="str">
        <f>IFERROR(INDEX('Bibliothèque MP INRA'!$D:$D,MATCH($A17,'Bibliothèque MP INRA'!$C:$C,0)),"")</f>
        <v/>
      </c>
      <c r="D17" t="str">
        <f t="shared" si="0"/>
        <v/>
      </c>
      <c r="E17" t="str">
        <f>IFERROR(INDEX('Bibliothèque MP INRA'!$E:$E,MATCH($A17,'Bibliothèque MP INRA'!$C:$C,0)),"")</f>
        <v/>
      </c>
      <c r="F17" t="str">
        <f t="shared" si="1"/>
        <v/>
      </c>
      <c r="G17" t="str">
        <f>IFERROR(INDEX('Bibliothèque MP INRA'!$I:$I,MATCH($A17,'Bibliothèque MP INRA'!$C:$C,0)),"")</f>
        <v/>
      </c>
      <c r="H17" t="str">
        <f t="shared" si="2"/>
        <v/>
      </c>
      <c r="I17" t="str">
        <f>IFERROR(INDEX('Bibliothèque MP INRA'!$G:$G,MATCH($A17,'Bibliothèque MP INRA'!$C:$C,0)),"")</f>
        <v/>
      </c>
      <c r="J17" t="str">
        <f t="shared" si="3"/>
        <v/>
      </c>
      <c r="K17" t="str">
        <f>IFERROR(INDEX('Bibliothèque MP INRA'!$H:$H,MATCH($A17,'Bibliothèque MP INRA'!$C:$C,0)),"")</f>
        <v/>
      </c>
      <c r="L17" t="str">
        <f t="shared" si="4"/>
        <v/>
      </c>
      <c r="M17" t="str">
        <f>IFERROR(INDEX('Bibliothèque MP INRA'!$J:$J,MATCH($A17,'Bibliothèque MP INRA'!$C:$C,0)),"")</f>
        <v/>
      </c>
      <c r="N17" t="str">
        <f t="shared" si="15"/>
        <v/>
      </c>
      <c r="O17" t="str">
        <f>IFERROR(INDEX('Bibliothèque MP INRA'!$K:$K,MATCH($A17,'Bibliothèque MP INRA'!$C:$C,0)),"")</f>
        <v/>
      </c>
      <c r="P17" t="str">
        <f t="shared" si="6"/>
        <v/>
      </c>
      <c r="Q17" t="str">
        <f>IFERROR(INDEX('Bibliothèque MP INRA'!$L:$L,MATCH($A17,'Bibliothèque MP INRA'!$C:$C,0)),"")</f>
        <v/>
      </c>
      <c r="R17" t="str">
        <f t="shared" si="7"/>
        <v/>
      </c>
      <c r="S17" t="str">
        <f>IFERROR(INDEX('Bibliothèque MP INRA'!$M:$M,MATCH($A17,'Bibliothèque MP INRA'!$C:$C,0)),"")</f>
        <v/>
      </c>
      <c r="T17" t="str">
        <f t="shared" si="8"/>
        <v/>
      </c>
      <c r="U17" t="str">
        <f>IFERROR(INDEX('Bibliothèque MP INRA'!$N:$N,MATCH($A17,'Bibliothèque MP INRA'!$C:$C,0)),"")</f>
        <v/>
      </c>
      <c r="V17" t="str">
        <f t="shared" si="9"/>
        <v/>
      </c>
      <c r="W17" t="str">
        <f>IFERROR(INDEX('Bibliothèque MP INRA'!$O:$O,MATCH($A17,'Bibliothèque MP INRA'!$C:$C,0)),"")</f>
        <v/>
      </c>
      <c r="X17" t="str">
        <f t="shared" si="16"/>
        <v/>
      </c>
      <c r="Y17" t="str">
        <f>IFERROR(INDEX('Bibliothèque MP INRA'!$P:$P,MATCH($A17,'Bibliothèque MP INRA'!$C:$C,0)),"")</f>
        <v/>
      </c>
      <c r="Z17" t="str">
        <f t="shared" si="10"/>
        <v/>
      </c>
      <c r="AA17" t="str">
        <f>IFERROR(INDEX('Bibliothèque MP INRA'!$R:$R,MATCH($A17,'Bibliothèque MP INRA'!$C:$C,0)),"")</f>
        <v/>
      </c>
      <c r="AB17" t="str">
        <f t="shared" si="11"/>
        <v/>
      </c>
      <c r="AC17" t="str">
        <f>IFERROR(INDEX('Bibliothèque MP INRA'!$Q:$Q,MATCH($A17,'Bibliothèque MP INRA'!$C:$C,0)),"")</f>
        <v/>
      </c>
      <c r="AD17" t="str">
        <f t="shared" si="12"/>
        <v/>
      </c>
      <c r="AE17" t="str">
        <f>IFERROR(INDEX('Bibliothèque MP INRA'!$S:$S,MATCH($A17,'Bibliothèque MP INRA'!$C:$C,0)),"")</f>
        <v/>
      </c>
      <c r="AF17" t="str">
        <f t="shared" si="13"/>
        <v/>
      </c>
    </row>
    <row r="18" spans="3:32" x14ac:dyDescent="0.35">
      <c r="C18" t="str">
        <f>IFERROR(INDEX('Bibliothèque MP INRA'!$D:$D,MATCH($A18,'Bibliothèque MP INRA'!$C:$C,0)),"")</f>
        <v/>
      </c>
      <c r="D18" t="str">
        <f t="shared" si="0"/>
        <v/>
      </c>
      <c r="E18" t="str">
        <f>IFERROR(INDEX('Bibliothèque MP INRA'!$E:$E,MATCH($A18,'Bibliothèque MP INRA'!$C:$C,0)),"")</f>
        <v/>
      </c>
      <c r="F18" t="str">
        <f t="shared" si="1"/>
        <v/>
      </c>
      <c r="G18" t="str">
        <f>IFERROR(INDEX('Bibliothèque MP INRA'!$I:$I,MATCH($A18,'Bibliothèque MP INRA'!$C:$C,0)),"")</f>
        <v/>
      </c>
      <c r="H18" t="str">
        <f t="shared" si="2"/>
        <v/>
      </c>
      <c r="I18" t="str">
        <f>IFERROR(INDEX('Bibliothèque MP INRA'!$G:$G,MATCH($A18,'Bibliothèque MP INRA'!$C:$C,0)),"")</f>
        <v/>
      </c>
      <c r="J18" t="str">
        <f t="shared" si="3"/>
        <v/>
      </c>
      <c r="K18" t="str">
        <f>IFERROR(INDEX('Bibliothèque MP INRA'!$H:$H,MATCH($A18,'Bibliothèque MP INRA'!$C:$C,0)),"")</f>
        <v/>
      </c>
      <c r="L18" t="str">
        <f t="shared" si="4"/>
        <v/>
      </c>
      <c r="M18" t="str">
        <f>IFERROR(INDEX('Bibliothèque MP INRA'!$J:$J,MATCH($A18,'Bibliothèque MP INRA'!$C:$C,0)),"")</f>
        <v/>
      </c>
      <c r="N18" t="str">
        <f t="shared" si="15"/>
        <v/>
      </c>
      <c r="O18" t="str">
        <f>IFERROR(INDEX('Bibliothèque MP INRA'!$K:$K,MATCH($A18,'Bibliothèque MP INRA'!$C:$C,0)),"")</f>
        <v/>
      </c>
      <c r="P18" t="str">
        <f t="shared" si="6"/>
        <v/>
      </c>
      <c r="Q18" t="str">
        <f>IFERROR(INDEX('Bibliothèque MP INRA'!$L:$L,MATCH($A18,'Bibliothèque MP INRA'!$C:$C,0)),"")</f>
        <v/>
      </c>
      <c r="R18" t="str">
        <f t="shared" si="7"/>
        <v/>
      </c>
      <c r="S18" t="str">
        <f>IFERROR(INDEX('Bibliothèque MP INRA'!$M:$M,MATCH($A18,'Bibliothèque MP INRA'!$C:$C,0)),"")</f>
        <v/>
      </c>
      <c r="T18" t="str">
        <f t="shared" si="8"/>
        <v/>
      </c>
      <c r="U18" t="str">
        <f>IFERROR(INDEX('Bibliothèque MP INRA'!$N:$N,MATCH($A18,'Bibliothèque MP INRA'!$C:$C,0)),"")</f>
        <v/>
      </c>
      <c r="V18" t="str">
        <f t="shared" si="9"/>
        <v/>
      </c>
      <c r="W18" t="str">
        <f>IFERROR(INDEX('Bibliothèque MP INRA'!$O:$O,MATCH($A18,'Bibliothèque MP INRA'!$C:$C,0)),"")</f>
        <v/>
      </c>
      <c r="X18" t="str">
        <f t="shared" si="16"/>
        <v/>
      </c>
      <c r="Y18" t="str">
        <f>IFERROR(INDEX('Bibliothèque MP INRA'!$P:$P,MATCH($A18,'Bibliothèque MP INRA'!$C:$C,0)),"")</f>
        <v/>
      </c>
      <c r="Z18" t="str">
        <f t="shared" si="10"/>
        <v/>
      </c>
      <c r="AA18" t="str">
        <f>IFERROR(INDEX('Bibliothèque MP INRA'!$R:$R,MATCH($A18,'Bibliothèque MP INRA'!$C:$C,0)),"")</f>
        <v/>
      </c>
      <c r="AB18" t="str">
        <f t="shared" si="11"/>
        <v/>
      </c>
      <c r="AC18" t="str">
        <f>IFERROR(INDEX('Bibliothèque MP INRA'!$Q:$Q,MATCH($A18,'Bibliothèque MP INRA'!$C:$C,0)),"")</f>
        <v/>
      </c>
      <c r="AD18" t="str">
        <f t="shared" si="12"/>
        <v/>
      </c>
      <c r="AE18" t="str">
        <f>IFERROR(INDEX('Bibliothèque MP INRA'!$S:$S,MATCH($A18,'Bibliothèque MP INRA'!$C:$C,0)),"")</f>
        <v/>
      </c>
      <c r="AF18" t="str">
        <f t="shared" si="13"/>
        <v/>
      </c>
    </row>
    <row r="19" spans="3:32" x14ac:dyDescent="0.35">
      <c r="C19" t="str">
        <f>IFERROR(INDEX('Bibliothèque MP INRA'!$D:$D,MATCH($A19,'Bibliothèque MP INRA'!$C:$C,0)),"")</f>
        <v/>
      </c>
      <c r="D19" t="str">
        <f t="shared" si="0"/>
        <v/>
      </c>
      <c r="E19" t="str">
        <f>IFERROR(INDEX('Bibliothèque MP INRA'!$E:$E,MATCH($A19,'Bibliothèque MP INRA'!$C:$C,0)),"")</f>
        <v/>
      </c>
      <c r="F19" t="str">
        <f t="shared" si="1"/>
        <v/>
      </c>
      <c r="G19" t="str">
        <f>IFERROR(INDEX('Bibliothèque MP INRA'!$I:$I,MATCH($A19,'Bibliothèque MP INRA'!$C:$C,0)),"")</f>
        <v/>
      </c>
      <c r="H19" t="str">
        <f t="shared" si="2"/>
        <v/>
      </c>
      <c r="I19" t="str">
        <f>IFERROR(INDEX('Bibliothèque MP INRA'!$G:$G,MATCH($A19,'Bibliothèque MP INRA'!$C:$C,0)),"")</f>
        <v/>
      </c>
      <c r="J19" t="str">
        <f t="shared" si="3"/>
        <v/>
      </c>
      <c r="K19" t="str">
        <f>IFERROR(INDEX('Bibliothèque MP INRA'!$H:$H,MATCH($A19,'Bibliothèque MP INRA'!$C:$C,0)),"")</f>
        <v/>
      </c>
      <c r="L19" t="str">
        <f t="shared" si="4"/>
        <v/>
      </c>
      <c r="M19" t="str">
        <f>IFERROR(INDEX('Bibliothèque MP INRA'!$J:$J,MATCH($A19,'Bibliothèque MP INRA'!$C:$C,0)),"")</f>
        <v/>
      </c>
      <c r="N19" t="str">
        <f t="shared" si="15"/>
        <v/>
      </c>
      <c r="O19" t="str">
        <f>IFERROR(INDEX('Bibliothèque MP INRA'!$K:$K,MATCH($A19,'Bibliothèque MP INRA'!$C:$C,0)),"")</f>
        <v/>
      </c>
      <c r="P19" t="str">
        <f t="shared" si="6"/>
        <v/>
      </c>
      <c r="Q19" t="str">
        <f>IFERROR(INDEX('Bibliothèque MP INRA'!$L:$L,MATCH($A19,'Bibliothèque MP INRA'!$C:$C,0)),"")</f>
        <v/>
      </c>
      <c r="R19" t="str">
        <f t="shared" si="7"/>
        <v/>
      </c>
      <c r="S19" t="str">
        <f>IFERROR(INDEX('Bibliothèque MP INRA'!$M:$M,MATCH($A19,'Bibliothèque MP INRA'!$C:$C,0)),"")</f>
        <v/>
      </c>
      <c r="T19" t="str">
        <f t="shared" si="8"/>
        <v/>
      </c>
      <c r="U19" t="str">
        <f>IFERROR(INDEX('Bibliothèque MP INRA'!$N:$N,MATCH($A19,'Bibliothèque MP INRA'!$C:$C,0)),"")</f>
        <v/>
      </c>
      <c r="V19" t="str">
        <f t="shared" si="9"/>
        <v/>
      </c>
      <c r="W19" t="str">
        <f>IFERROR(INDEX('Bibliothèque MP INRA'!$O:$O,MATCH($A19,'Bibliothèque MP INRA'!$C:$C,0)),"")</f>
        <v/>
      </c>
      <c r="X19" t="str">
        <f t="shared" si="16"/>
        <v/>
      </c>
      <c r="Y19" t="str">
        <f>IFERROR(INDEX('Bibliothèque MP INRA'!$P:$P,MATCH($A19,'Bibliothèque MP INRA'!$C:$C,0)),"")</f>
        <v/>
      </c>
      <c r="Z19" t="str">
        <f t="shared" si="10"/>
        <v/>
      </c>
      <c r="AA19" t="str">
        <f>IFERROR(INDEX('Bibliothèque MP INRA'!$R:$R,MATCH($A19,'Bibliothèque MP INRA'!$C:$C,0)),"")</f>
        <v/>
      </c>
      <c r="AB19" t="str">
        <f t="shared" si="11"/>
        <v/>
      </c>
      <c r="AC19" t="str">
        <f>IFERROR(INDEX('Bibliothèque MP INRA'!$Q:$Q,MATCH($A19,'Bibliothèque MP INRA'!$C:$C,0)),"")</f>
        <v/>
      </c>
      <c r="AD19" t="str">
        <f t="shared" si="12"/>
        <v/>
      </c>
      <c r="AE19" t="str">
        <f>IFERROR(INDEX('Bibliothèque MP INRA'!$S:$S,MATCH($A19,'Bibliothèque MP INRA'!$C:$C,0)),"")</f>
        <v/>
      </c>
      <c r="AF19" t="str">
        <f t="shared" si="13"/>
        <v/>
      </c>
    </row>
    <row r="20" spans="3:32" x14ac:dyDescent="0.35">
      <c r="C20" t="str">
        <f>IFERROR(INDEX('Bibliothèque MP INRA'!$D:$D,MATCH($A20,'Bibliothèque MP INRA'!$C:$C,0)),"")</f>
        <v/>
      </c>
      <c r="D20" t="str">
        <f t="shared" si="0"/>
        <v/>
      </c>
      <c r="E20" t="str">
        <f>IFERROR(INDEX('Bibliothèque MP INRA'!$E:$E,MATCH($A20,'Bibliothèque MP INRA'!$C:$C,0)),"")</f>
        <v/>
      </c>
      <c r="F20" t="str">
        <f t="shared" si="1"/>
        <v/>
      </c>
      <c r="G20" t="str">
        <f>IFERROR(INDEX('Bibliothèque MP INRA'!$I:$I,MATCH($A20,'Bibliothèque MP INRA'!$C:$C,0)),"")</f>
        <v/>
      </c>
      <c r="H20" t="str">
        <f t="shared" si="2"/>
        <v/>
      </c>
      <c r="I20" t="str">
        <f>IFERROR(INDEX('Bibliothèque MP INRA'!$G:$G,MATCH($A20,'Bibliothèque MP INRA'!$C:$C,0)),"")</f>
        <v/>
      </c>
      <c r="J20" t="str">
        <f t="shared" si="3"/>
        <v/>
      </c>
      <c r="K20" t="str">
        <f>IFERROR(INDEX('Bibliothèque MP INRA'!$H:$H,MATCH($A20,'Bibliothèque MP INRA'!$C:$C,0)),"")</f>
        <v/>
      </c>
      <c r="L20" t="str">
        <f t="shared" si="4"/>
        <v/>
      </c>
      <c r="M20" t="str">
        <f>IFERROR(INDEX('Bibliothèque MP INRA'!$J:$J,MATCH($A20,'Bibliothèque MP INRA'!$C:$C,0)),"")</f>
        <v/>
      </c>
      <c r="N20" t="str">
        <f t="shared" si="15"/>
        <v/>
      </c>
      <c r="O20" t="str">
        <f>IFERROR(INDEX('Bibliothèque MP INRA'!$K:$K,MATCH($A20,'Bibliothèque MP INRA'!$C:$C,0)),"")</f>
        <v/>
      </c>
      <c r="P20" t="str">
        <f t="shared" si="6"/>
        <v/>
      </c>
      <c r="Q20" t="str">
        <f>IFERROR(INDEX('Bibliothèque MP INRA'!$L:$L,MATCH($A20,'Bibliothèque MP INRA'!$C:$C,0)),"")</f>
        <v/>
      </c>
      <c r="R20" t="str">
        <f t="shared" si="7"/>
        <v/>
      </c>
      <c r="S20" t="str">
        <f>IFERROR(INDEX('Bibliothèque MP INRA'!$M:$M,MATCH($A20,'Bibliothèque MP INRA'!$C:$C,0)),"")</f>
        <v/>
      </c>
      <c r="T20" t="str">
        <f t="shared" si="8"/>
        <v/>
      </c>
      <c r="U20" t="str">
        <f>IFERROR(INDEX('Bibliothèque MP INRA'!$N:$N,MATCH($A20,'Bibliothèque MP INRA'!$C:$C,0)),"")</f>
        <v/>
      </c>
      <c r="V20" t="str">
        <f t="shared" si="9"/>
        <v/>
      </c>
      <c r="W20" t="str">
        <f>IFERROR(INDEX('Bibliothèque MP INRA'!$O:$O,MATCH($A20,'Bibliothèque MP INRA'!$C:$C,0)),"")</f>
        <v/>
      </c>
      <c r="X20" t="str">
        <f t="shared" si="16"/>
        <v/>
      </c>
      <c r="Y20" t="str">
        <f>IFERROR(INDEX('Bibliothèque MP INRA'!$P:$P,MATCH($A20,'Bibliothèque MP INRA'!$C:$C,0)),"")</f>
        <v/>
      </c>
      <c r="Z20" t="str">
        <f t="shared" si="10"/>
        <v/>
      </c>
      <c r="AA20" t="str">
        <f>IFERROR(INDEX('Bibliothèque MP INRA'!$R:$R,MATCH($A20,'Bibliothèque MP INRA'!$C:$C,0)),"")</f>
        <v/>
      </c>
      <c r="AB20" t="str">
        <f t="shared" si="11"/>
        <v/>
      </c>
      <c r="AC20" t="str">
        <f>IFERROR(INDEX('Bibliothèque MP INRA'!$Q:$Q,MATCH($A20,'Bibliothèque MP INRA'!$C:$C,0)),"")</f>
        <v/>
      </c>
      <c r="AD20" t="str">
        <f t="shared" si="12"/>
        <v/>
      </c>
      <c r="AE20" t="str">
        <f>IFERROR(INDEX('Bibliothèque MP INRA'!$S:$S,MATCH($A20,'Bibliothèque MP INRA'!$C:$C,0)),"")</f>
        <v/>
      </c>
      <c r="AF20" t="str">
        <f t="shared" si="13"/>
        <v/>
      </c>
    </row>
    <row r="21" spans="3:32" x14ac:dyDescent="0.35">
      <c r="C21" t="str">
        <f>IFERROR(INDEX('Bibliothèque MP INRA'!$D:$D,MATCH($A21,'Bibliothèque MP INRA'!$C:$C,0)),"")</f>
        <v/>
      </c>
      <c r="D21" t="str">
        <f t="shared" si="0"/>
        <v/>
      </c>
      <c r="E21" t="str">
        <f>IFERROR(INDEX('Bibliothèque MP INRA'!$E:$E,MATCH($A21,'Bibliothèque MP INRA'!$C:$C,0)),"")</f>
        <v/>
      </c>
      <c r="F21" t="str">
        <f t="shared" si="1"/>
        <v/>
      </c>
      <c r="G21" t="str">
        <f>IFERROR(INDEX('Bibliothèque MP INRA'!$I:$I,MATCH($A21,'Bibliothèque MP INRA'!$C:$C,0)),"")</f>
        <v/>
      </c>
      <c r="H21" t="str">
        <f t="shared" si="2"/>
        <v/>
      </c>
      <c r="I21" t="str">
        <f>IFERROR(INDEX('Bibliothèque MP INRA'!$G:$G,MATCH($A21,'Bibliothèque MP INRA'!$C:$C,0)),"")</f>
        <v/>
      </c>
      <c r="J21" t="str">
        <f t="shared" si="3"/>
        <v/>
      </c>
      <c r="K21" t="str">
        <f>IFERROR(INDEX('Bibliothèque MP INRA'!$H:$H,MATCH($A21,'Bibliothèque MP INRA'!$C:$C,0)),"")</f>
        <v/>
      </c>
      <c r="L21" t="str">
        <f t="shared" si="4"/>
        <v/>
      </c>
      <c r="M21" t="str">
        <f>IFERROR(INDEX('Bibliothèque MP INRA'!$J:$J,MATCH($A21,'Bibliothèque MP INRA'!$C:$C,0)),"")</f>
        <v/>
      </c>
      <c r="N21" t="str">
        <f t="shared" si="15"/>
        <v/>
      </c>
      <c r="O21" t="str">
        <f>IFERROR(INDEX('Bibliothèque MP INRA'!$K:$K,MATCH($A21,'Bibliothèque MP INRA'!$C:$C,0)),"")</f>
        <v/>
      </c>
      <c r="P21" t="str">
        <f t="shared" si="6"/>
        <v/>
      </c>
      <c r="Q21" t="str">
        <f>IFERROR(INDEX('Bibliothèque MP INRA'!$L:$L,MATCH($A21,'Bibliothèque MP INRA'!$C:$C,0)),"")</f>
        <v/>
      </c>
      <c r="R21" t="str">
        <f t="shared" si="7"/>
        <v/>
      </c>
      <c r="S21" t="str">
        <f>IFERROR(INDEX('Bibliothèque MP INRA'!$M:$M,MATCH($A21,'Bibliothèque MP INRA'!$C:$C,0)),"")</f>
        <v/>
      </c>
      <c r="T21" t="str">
        <f t="shared" si="8"/>
        <v/>
      </c>
      <c r="U21" t="str">
        <f>IFERROR(INDEX('Bibliothèque MP INRA'!$N:$N,MATCH($A21,'Bibliothèque MP INRA'!$C:$C,0)),"")</f>
        <v/>
      </c>
      <c r="V21" t="str">
        <f t="shared" si="9"/>
        <v/>
      </c>
      <c r="W21" t="str">
        <f>IFERROR(INDEX('Bibliothèque MP INRA'!$O:$O,MATCH($A21,'Bibliothèque MP INRA'!$C:$C,0)),"")</f>
        <v/>
      </c>
      <c r="X21" t="str">
        <f t="shared" si="16"/>
        <v/>
      </c>
      <c r="Y21" t="str">
        <f>IFERROR(INDEX('Bibliothèque MP INRA'!$P:$P,MATCH($A21,'Bibliothèque MP INRA'!$C:$C,0)),"")</f>
        <v/>
      </c>
      <c r="Z21" t="str">
        <f t="shared" si="10"/>
        <v/>
      </c>
      <c r="AA21" t="str">
        <f>IFERROR(INDEX('Bibliothèque MP INRA'!$R:$R,MATCH($A21,'Bibliothèque MP INRA'!$C:$C,0)),"")</f>
        <v/>
      </c>
      <c r="AB21" t="str">
        <f t="shared" si="11"/>
        <v/>
      </c>
      <c r="AC21" t="str">
        <f>IFERROR(INDEX('Bibliothèque MP INRA'!$Q:$Q,MATCH($A21,'Bibliothèque MP INRA'!$C:$C,0)),"")</f>
        <v/>
      </c>
      <c r="AD21" t="str">
        <f t="shared" si="12"/>
        <v/>
      </c>
      <c r="AE21" t="str">
        <f>IFERROR(INDEX('Bibliothèque MP INRA'!$S:$S,MATCH($A21,'Bibliothèque MP INRA'!$C:$C,0)),"")</f>
        <v/>
      </c>
      <c r="AF21" t="str">
        <f t="shared" si="13"/>
        <v/>
      </c>
    </row>
    <row r="22" spans="3:32" x14ac:dyDescent="0.35">
      <c r="C22" t="str">
        <f>IFERROR(INDEX('Bibliothèque MP INRA'!$D:$D,MATCH($A22,'Bibliothèque MP INRA'!$C:$C,0)),"")</f>
        <v/>
      </c>
      <c r="D22" t="str">
        <f t="shared" si="0"/>
        <v/>
      </c>
      <c r="E22" t="str">
        <f>IFERROR(INDEX('Bibliothèque MP INRA'!$E:$E,MATCH($A22,'Bibliothèque MP INRA'!$C:$C,0)),"")</f>
        <v/>
      </c>
      <c r="F22" t="str">
        <f t="shared" si="1"/>
        <v/>
      </c>
      <c r="G22" t="str">
        <f>IFERROR(INDEX('Bibliothèque MP INRA'!$I:$I,MATCH($A22,'Bibliothèque MP INRA'!$C:$C,0)),"")</f>
        <v/>
      </c>
      <c r="H22" t="str">
        <f t="shared" si="2"/>
        <v/>
      </c>
      <c r="I22" t="str">
        <f>IFERROR(INDEX('Bibliothèque MP INRA'!$G:$G,MATCH($A22,'Bibliothèque MP INRA'!$C:$C,0)),"")</f>
        <v/>
      </c>
      <c r="J22" t="str">
        <f t="shared" si="3"/>
        <v/>
      </c>
      <c r="K22" t="str">
        <f>IFERROR(INDEX('Bibliothèque MP INRA'!$H:$H,MATCH($A22,'Bibliothèque MP INRA'!$C:$C,0)),"")</f>
        <v/>
      </c>
      <c r="L22" t="str">
        <f t="shared" si="4"/>
        <v/>
      </c>
      <c r="M22" t="str">
        <f>IFERROR(INDEX('Bibliothèque MP INRA'!$J:$J,MATCH($A22,'Bibliothèque MP INRA'!$C:$C,0)),"")</f>
        <v/>
      </c>
      <c r="N22" t="str">
        <f t="shared" si="15"/>
        <v/>
      </c>
      <c r="O22" t="str">
        <f>IFERROR(INDEX('Bibliothèque MP INRA'!$K:$K,MATCH($A22,'Bibliothèque MP INRA'!$C:$C,0)),"")</f>
        <v/>
      </c>
      <c r="P22" t="str">
        <f t="shared" si="6"/>
        <v/>
      </c>
      <c r="Q22" t="str">
        <f>IFERROR(INDEX('Bibliothèque MP INRA'!$L:$L,MATCH($A22,'Bibliothèque MP INRA'!$C:$C,0)),"")</f>
        <v/>
      </c>
      <c r="R22" t="str">
        <f t="shared" si="7"/>
        <v/>
      </c>
      <c r="S22" t="str">
        <f>IFERROR(INDEX('Bibliothèque MP INRA'!$M:$M,MATCH($A22,'Bibliothèque MP INRA'!$C:$C,0)),"")</f>
        <v/>
      </c>
      <c r="T22" t="str">
        <f t="shared" si="8"/>
        <v/>
      </c>
      <c r="U22" t="str">
        <f>IFERROR(INDEX('Bibliothèque MP INRA'!$N:$N,MATCH($A22,'Bibliothèque MP INRA'!$C:$C,0)),"")</f>
        <v/>
      </c>
      <c r="V22" t="str">
        <f t="shared" si="9"/>
        <v/>
      </c>
      <c r="W22" t="str">
        <f>IFERROR(INDEX('Bibliothèque MP INRA'!$O:$O,MATCH($A22,'Bibliothèque MP INRA'!$C:$C,0)),"")</f>
        <v/>
      </c>
      <c r="X22" t="str">
        <f t="shared" si="16"/>
        <v/>
      </c>
      <c r="Y22" t="str">
        <f>IFERROR(INDEX('Bibliothèque MP INRA'!$P:$P,MATCH($A22,'Bibliothèque MP INRA'!$C:$C,0)),"")</f>
        <v/>
      </c>
      <c r="Z22" t="str">
        <f t="shared" si="10"/>
        <v/>
      </c>
      <c r="AA22" t="str">
        <f>IFERROR(INDEX('Bibliothèque MP INRA'!$R:$R,MATCH($A22,'Bibliothèque MP INRA'!$C:$C,0)),"")</f>
        <v/>
      </c>
      <c r="AB22" t="str">
        <f t="shared" si="11"/>
        <v/>
      </c>
      <c r="AC22" t="str">
        <f>IFERROR(INDEX('Bibliothèque MP INRA'!$Q:$Q,MATCH($A22,'Bibliothèque MP INRA'!$C:$C,0)),"")</f>
        <v/>
      </c>
      <c r="AD22" t="str">
        <f t="shared" si="12"/>
        <v/>
      </c>
      <c r="AE22" t="str">
        <f>IFERROR(INDEX('Bibliothèque MP INRA'!$S:$S,MATCH($A22,'Bibliothèque MP INRA'!$C:$C,0)),"")</f>
        <v/>
      </c>
      <c r="AF22" t="str">
        <f t="shared" si="13"/>
        <v/>
      </c>
    </row>
    <row r="23" spans="3:32" x14ac:dyDescent="0.35">
      <c r="C23" t="str">
        <f>IFERROR(INDEX('Bibliothèque MP INRA'!$D:$D,MATCH($A23,'Bibliothèque MP INRA'!$C:$C,0)),"")</f>
        <v/>
      </c>
      <c r="D23" t="str">
        <f t="shared" si="0"/>
        <v/>
      </c>
      <c r="E23" t="str">
        <f>IFERROR(INDEX('Bibliothèque MP INRA'!$E:$E,MATCH($A23,'Bibliothèque MP INRA'!$C:$C,0)),"")</f>
        <v/>
      </c>
      <c r="F23" t="str">
        <f t="shared" si="1"/>
        <v/>
      </c>
      <c r="G23" t="str">
        <f>IFERROR(INDEX('Bibliothèque MP INRA'!$I:$I,MATCH($A23,'Bibliothèque MP INRA'!$C:$C,0)),"")</f>
        <v/>
      </c>
      <c r="H23" t="str">
        <f t="shared" si="2"/>
        <v/>
      </c>
      <c r="I23" t="str">
        <f>IFERROR(INDEX('Bibliothèque MP INRA'!$G:$G,MATCH($A23,'Bibliothèque MP INRA'!$C:$C,0)),"")</f>
        <v/>
      </c>
      <c r="J23" t="str">
        <f t="shared" si="3"/>
        <v/>
      </c>
      <c r="K23" t="str">
        <f>IFERROR(INDEX('Bibliothèque MP INRA'!$H:$H,MATCH($A23,'Bibliothèque MP INRA'!$C:$C,0)),"")</f>
        <v/>
      </c>
      <c r="L23" t="str">
        <f t="shared" si="4"/>
        <v/>
      </c>
      <c r="M23" t="str">
        <f>IFERROR(INDEX('Bibliothèque MP INRA'!$J:$J,MATCH($A23,'Bibliothèque MP INRA'!$C:$C,0)),"")</f>
        <v/>
      </c>
      <c r="N23" t="str">
        <f t="shared" si="15"/>
        <v/>
      </c>
      <c r="O23" t="str">
        <f>IFERROR(INDEX('Bibliothèque MP INRA'!$K:$K,MATCH($A23,'Bibliothèque MP INRA'!$C:$C,0)),"")</f>
        <v/>
      </c>
      <c r="P23" t="str">
        <f t="shared" si="6"/>
        <v/>
      </c>
      <c r="Q23" t="str">
        <f>IFERROR(INDEX('Bibliothèque MP INRA'!$L:$L,MATCH($A23,'Bibliothèque MP INRA'!$C:$C,0)),"")</f>
        <v/>
      </c>
      <c r="R23" t="str">
        <f t="shared" si="7"/>
        <v/>
      </c>
      <c r="S23" t="str">
        <f>IFERROR(INDEX('Bibliothèque MP INRA'!$M:$M,MATCH($A23,'Bibliothèque MP INRA'!$C:$C,0)),"")</f>
        <v/>
      </c>
      <c r="T23" t="str">
        <f t="shared" si="8"/>
        <v/>
      </c>
      <c r="U23" t="str">
        <f>IFERROR(INDEX('Bibliothèque MP INRA'!$N:$N,MATCH($A23,'Bibliothèque MP INRA'!$C:$C,0)),"")</f>
        <v/>
      </c>
      <c r="V23" t="str">
        <f t="shared" si="9"/>
        <v/>
      </c>
      <c r="W23" t="str">
        <f>IFERROR(INDEX('Bibliothèque MP INRA'!$O:$O,MATCH($A23,'Bibliothèque MP INRA'!$C:$C,0)),"")</f>
        <v/>
      </c>
      <c r="X23" t="str">
        <f t="shared" si="16"/>
        <v/>
      </c>
      <c r="Y23" t="str">
        <f>IFERROR(INDEX('Bibliothèque MP INRA'!$P:$P,MATCH($A23,'Bibliothèque MP INRA'!$C:$C,0)),"")</f>
        <v/>
      </c>
      <c r="Z23" t="str">
        <f t="shared" si="10"/>
        <v/>
      </c>
      <c r="AA23" t="str">
        <f>IFERROR(INDEX('Bibliothèque MP INRA'!$R:$R,MATCH($A23,'Bibliothèque MP INRA'!$C:$C,0)),"")</f>
        <v/>
      </c>
      <c r="AB23" t="str">
        <f t="shared" si="11"/>
        <v/>
      </c>
      <c r="AC23" t="str">
        <f>IFERROR(INDEX('Bibliothèque MP INRA'!$Q:$Q,MATCH($A23,'Bibliothèque MP INRA'!$C:$C,0)),"")</f>
        <v/>
      </c>
      <c r="AD23" t="str">
        <f t="shared" si="12"/>
        <v/>
      </c>
      <c r="AE23" t="str">
        <f>IFERROR(INDEX('Bibliothèque MP INRA'!$S:$S,MATCH($A23,'Bibliothèque MP INRA'!$C:$C,0)),"")</f>
        <v/>
      </c>
      <c r="AF23" t="str">
        <f t="shared" si="13"/>
        <v/>
      </c>
    </row>
    <row r="24" spans="3:32" x14ac:dyDescent="0.35">
      <c r="C24" t="str">
        <f>IFERROR(INDEX('Bibliothèque MP INRA'!$D:$D,MATCH($A24,'Bibliothèque MP INRA'!$C:$C,0)),"")</f>
        <v/>
      </c>
      <c r="D24" t="str">
        <f t="shared" si="0"/>
        <v/>
      </c>
      <c r="E24" t="str">
        <f>IFERROR(INDEX('Bibliothèque MP INRA'!$E:$E,MATCH($A24,'Bibliothèque MP INRA'!$C:$C,0)),"")</f>
        <v/>
      </c>
      <c r="F24" t="str">
        <f t="shared" si="1"/>
        <v/>
      </c>
      <c r="G24" t="str">
        <f>IFERROR(INDEX('Bibliothèque MP INRA'!$I:$I,MATCH($A24,'Bibliothèque MP INRA'!$C:$C,0)),"")</f>
        <v/>
      </c>
      <c r="H24" t="str">
        <f t="shared" si="2"/>
        <v/>
      </c>
      <c r="I24" t="str">
        <f>IFERROR(INDEX('Bibliothèque MP INRA'!$G:$G,MATCH($A24,'Bibliothèque MP INRA'!$C:$C,0)),"")</f>
        <v/>
      </c>
      <c r="J24" t="str">
        <f t="shared" si="3"/>
        <v/>
      </c>
      <c r="K24" t="str">
        <f>IFERROR(INDEX('Bibliothèque MP INRA'!$H:$H,MATCH($A24,'Bibliothèque MP INRA'!$C:$C,0)),"")</f>
        <v/>
      </c>
      <c r="L24" t="str">
        <f t="shared" si="4"/>
        <v/>
      </c>
      <c r="M24" t="str">
        <f>IFERROR(INDEX('Bibliothèque MP INRA'!$J:$J,MATCH($A24,'Bibliothèque MP INRA'!$C:$C,0)),"")</f>
        <v/>
      </c>
      <c r="N24" t="str">
        <f t="shared" si="15"/>
        <v/>
      </c>
      <c r="O24" t="str">
        <f>IFERROR(INDEX('Bibliothèque MP INRA'!$K:$K,MATCH($A24,'Bibliothèque MP INRA'!$C:$C,0)),"")</f>
        <v/>
      </c>
      <c r="P24" t="str">
        <f t="shared" si="6"/>
        <v/>
      </c>
      <c r="Q24" t="str">
        <f>IFERROR(INDEX('Bibliothèque MP INRA'!$L:$L,MATCH($A24,'Bibliothèque MP INRA'!$C:$C,0)),"")</f>
        <v/>
      </c>
      <c r="R24" t="str">
        <f t="shared" si="7"/>
        <v/>
      </c>
      <c r="S24" t="str">
        <f>IFERROR(INDEX('Bibliothèque MP INRA'!$M:$M,MATCH($A24,'Bibliothèque MP INRA'!$C:$C,0)),"")</f>
        <v/>
      </c>
      <c r="T24" t="str">
        <f t="shared" si="8"/>
        <v/>
      </c>
      <c r="U24" t="str">
        <f>IFERROR(INDEX('Bibliothèque MP INRA'!$N:$N,MATCH($A24,'Bibliothèque MP INRA'!$C:$C,0)),"")</f>
        <v/>
      </c>
      <c r="V24" t="str">
        <f t="shared" si="9"/>
        <v/>
      </c>
      <c r="W24" t="str">
        <f>IFERROR(INDEX('Bibliothèque MP INRA'!$O:$O,MATCH($A24,'Bibliothèque MP INRA'!$C:$C,0)),"")</f>
        <v/>
      </c>
      <c r="X24" t="str">
        <f t="shared" si="16"/>
        <v/>
      </c>
      <c r="Y24" t="str">
        <f>IFERROR(INDEX('Bibliothèque MP INRA'!$P:$P,MATCH($A24,'Bibliothèque MP INRA'!$C:$C,0)),"")</f>
        <v/>
      </c>
      <c r="Z24" t="str">
        <f t="shared" si="10"/>
        <v/>
      </c>
      <c r="AA24" t="str">
        <f>IFERROR(INDEX('Bibliothèque MP INRA'!$R:$R,MATCH($A24,'Bibliothèque MP INRA'!$C:$C,0)),"")</f>
        <v/>
      </c>
      <c r="AB24" t="str">
        <f t="shared" si="11"/>
        <v/>
      </c>
      <c r="AC24" t="str">
        <f>IFERROR(INDEX('Bibliothèque MP INRA'!$Q:$Q,MATCH($A24,'Bibliothèque MP INRA'!$C:$C,0)),"")</f>
        <v/>
      </c>
      <c r="AD24" t="str">
        <f t="shared" si="12"/>
        <v/>
      </c>
      <c r="AE24" t="str">
        <f>IFERROR(INDEX('Bibliothèque MP INRA'!$S:$S,MATCH($A24,'Bibliothèque MP INRA'!$C:$C,0)),"")</f>
        <v/>
      </c>
      <c r="AF24" t="str">
        <f t="shared" si="13"/>
        <v/>
      </c>
    </row>
    <row r="25" spans="3:32" x14ac:dyDescent="0.35">
      <c r="C25" t="str">
        <f>IFERROR(INDEX('Bibliothèque MP INRA'!$D:$D,MATCH($A25,'Bibliothèque MP INRA'!$C:$C,0)),"")</f>
        <v/>
      </c>
      <c r="D25" t="str">
        <f t="shared" si="0"/>
        <v/>
      </c>
      <c r="E25" t="str">
        <f>IFERROR(INDEX('Bibliothèque MP INRA'!$E:$E,MATCH($A25,'Bibliothèque MP INRA'!$C:$C,0)),"")</f>
        <v/>
      </c>
      <c r="F25" t="str">
        <f t="shared" si="1"/>
        <v/>
      </c>
      <c r="G25" t="str">
        <f>IFERROR(INDEX('Bibliothèque MP INRA'!$I:$I,MATCH($A25,'Bibliothèque MP INRA'!$C:$C,0)),"")</f>
        <v/>
      </c>
      <c r="H25" t="str">
        <f t="shared" si="2"/>
        <v/>
      </c>
      <c r="I25" t="str">
        <f>IFERROR(INDEX('Bibliothèque MP INRA'!$G:$G,MATCH($A25,'Bibliothèque MP INRA'!$C:$C,0)),"")</f>
        <v/>
      </c>
      <c r="J25" t="str">
        <f t="shared" si="3"/>
        <v/>
      </c>
      <c r="K25" t="str">
        <f>IFERROR(INDEX('Bibliothèque MP INRA'!$H:$H,MATCH($A25,'Bibliothèque MP INRA'!$C:$C,0)),"")</f>
        <v/>
      </c>
      <c r="L25" t="str">
        <f t="shared" si="4"/>
        <v/>
      </c>
      <c r="M25" t="str">
        <f>IFERROR(INDEX('Bibliothèque MP INRA'!$J:$J,MATCH($A25,'Bibliothèque MP INRA'!$C:$C,0)),"")</f>
        <v/>
      </c>
      <c r="N25" t="str">
        <f t="shared" si="15"/>
        <v/>
      </c>
      <c r="O25" t="str">
        <f>IFERROR(INDEX('Bibliothèque MP INRA'!$K:$K,MATCH($A25,'Bibliothèque MP INRA'!$C:$C,0)),"")</f>
        <v/>
      </c>
      <c r="P25" t="str">
        <f t="shared" si="6"/>
        <v/>
      </c>
      <c r="Q25" t="str">
        <f>IFERROR(INDEX('Bibliothèque MP INRA'!$L:$L,MATCH($A25,'Bibliothèque MP INRA'!$C:$C,0)),"")</f>
        <v/>
      </c>
      <c r="R25" t="str">
        <f t="shared" si="7"/>
        <v/>
      </c>
      <c r="S25" t="str">
        <f>IFERROR(INDEX('Bibliothèque MP INRA'!$M:$M,MATCH($A25,'Bibliothèque MP INRA'!$C:$C,0)),"")</f>
        <v/>
      </c>
      <c r="T25" t="str">
        <f t="shared" si="8"/>
        <v/>
      </c>
      <c r="U25" t="str">
        <f>IFERROR(INDEX('Bibliothèque MP INRA'!$N:$N,MATCH($A25,'Bibliothèque MP INRA'!$C:$C,0)),"")</f>
        <v/>
      </c>
      <c r="V25" t="str">
        <f t="shared" si="9"/>
        <v/>
      </c>
      <c r="W25" t="str">
        <f>IFERROR(INDEX('Bibliothèque MP INRA'!$O:$O,MATCH($A25,'Bibliothèque MP INRA'!$C:$C,0)),"")</f>
        <v/>
      </c>
      <c r="X25" t="str">
        <f t="shared" si="16"/>
        <v/>
      </c>
      <c r="Y25" t="str">
        <f>IFERROR(INDEX('Bibliothèque MP INRA'!$P:$P,MATCH($A25,'Bibliothèque MP INRA'!$C:$C,0)),"")</f>
        <v/>
      </c>
      <c r="Z25" t="str">
        <f t="shared" si="10"/>
        <v/>
      </c>
      <c r="AA25" t="str">
        <f>IFERROR(INDEX('Bibliothèque MP INRA'!$R:$R,MATCH($A25,'Bibliothèque MP INRA'!$C:$C,0)),"")</f>
        <v/>
      </c>
      <c r="AB25" t="str">
        <f t="shared" si="11"/>
        <v/>
      </c>
      <c r="AC25" t="str">
        <f>IFERROR(INDEX('Bibliothèque MP INRA'!$Q:$Q,MATCH($A25,'Bibliothèque MP INRA'!$C:$C,0)),"")</f>
        <v/>
      </c>
      <c r="AD25" t="str">
        <f t="shared" si="12"/>
        <v/>
      </c>
      <c r="AE25" t="str">
        <f>IFERROR(INDEX('Bibliothèque MP INRA'!$S:$S,MATCH($A25,'Bibliothèque MP INRA'!$C:$C,0)),"")</f>
        <v/>
      </c>
      <c r="AF25" t="str">
        <f t="shared" si="13"/>
        <v/>
      </c>
    </row>
    <row r="26" spans="3:32" x14ac:dyDescent="0.35">
      <c r="C26" t="str">
        <f>IFERROR(INDEX('Bibliothèque MP INRA'!$D:$D,MATCH($A26,'Bibliothèque MP INRA'!$C:$C,0)),"")</f>
        <v/>
      </c>
      <c r="D26" t="str">
        <f t="shared" si="0"/>
        <v/>
      </c>
      <c r="E26" t="str">
        <f>IFERROR(INDEX('Bibliothèque MP INRA'!$E:$E,MATCH($A26,'Bibliothèque MP INRA'!$C:$C,0)),"")</f>
        <v/>
      </c>
      <c r="F26" t="str">
        <f t="shared" si="1"/>
        <v/>
      </c>
      <c r="G26" t="str">
        <f>IFERROR(INDEX('Bibliothèque MP INRA'!$I:$I,MATCH($A26,'Bibliothèque MP INRA'!$C:$C,0)),"")</f>
        <v/>
      </c>
      <c r="H26" t="str">
        <f t="shared" si="2"/>
        <v/>
      </c>
      <c r="I26" t="str">
        <f>IFERROR(INDEX('Bibliothèque MP INRA'!$G:$G,MATCH($A26,'Bibliothèque MP INRA'!$C:$C,0)),"")</f>
        <v/>
      </c>
      <c r="J26" t="str">
        <f t="shared" si="3"/>
        <v/>
      </c>
      <c r="K26" t="str">
        <f>IFERROR(INDEX('Bibliothèque MP INRA'!$H:$H,MATCH($A26,'Bibliothèque MP INRA'!$C:$C,0)),"")</f>
        <v/>
      </c>
      <c r="L26" t="str">
        <f t="shared" si="4"/>
        <v/>
      </c>
      <c r="M26" t="str">
        <f>IFERROR(INDEX('Bibliothèque MP INRA'!$J:$J,MATCH($A26,'Bibliothèque MP INRA'!$C:$C,0)),"")</f>
        <v/>
      </c>
      <c r="N26" t="str">
        <f t="shared" si="15"/>
        <v/>
      </c>
      <c r="O26" t="str">
        <f>IFERROR(INDEX('Bibliothèque MP INRA'!$K:$K,MATCH($A26,'Bibliothèque MP INRA'!$C:$C,0)),"")</f>
        <v/>
      </c>
      <c r="P26" t="str">
        <f t="shared" si="6"/>
        <v/>
      </c>
      <c r="Q26" t="str">
        <f>IFERROR(INDEX('Bibliothèque MP INRA'!$L:$L,MATCH($A26,'Bibliothèque MP INRA'!$C:$C,0)),"")</f>
        <v/>
      </c>
      <c r="R26" t="str">
        <f t="shared" si="7"/>
        <v/>
      </c>
      <c r="S26" t="str">
        <f>IFERROR(INDEX('Bibliothèque MP INRA'!$M:$M,MATCH($A26,'Bibliothèque MP INRA'!$C:$C,0)),"")</f>
        <v/>
      </c>
      <c r="T26" t="str">
        <f t="shared" si="8"/>
        <v/>
      </c>
      <c r="U26" t="str">
        <f>IFERROR(INDEX('Bibliothèque MP INRA'!$N:$N,MATCH($A26,'Bibliothèque MP INRA'!$C:$C,0)),"")</f>
        <v/>
      </c>
      <c r="V26" t="str">
        <f t="shared" si="9"/>
        <v/>
      </c>
      <c r="W26" t="str">
        <f>IFERROR(INDEX('Bibliothèque MP INRA'!$O:$O,MATCH($A26,'Bibliothèque MP INRA'!$C:$C,0)),"")</f>
        <v/>
      </c>
      <c r="X26" t="str">
        <f t="shared" si="16"/>
        <v/>
      </c>
      <c r="Y26" t="str">
        <f>IFERROR(INDEX('Bibliothèque MP INRA'!$P:$P,MATCH($A26,'Bibliothèque MP INRA'!$C:$C,0)),"")</f>
        <v/>
      </c>
      <c r="Z26" t="str">
        <f t="shared" si="10"/>
        <v/>
      </c>
      <c r="AA26" t="str">
        <f>IFERROR(INDEX('Bibliothèque MP INRA'!$R:$R,MATCH($A26,'Bibliothèque MP INRA'!$C:$C,0)),"")</f>
        <v/>
      </c>
      <c r="AB26" t="str">
        <f t="shared" si="11"/>
        <v/>
      </c>
      <c r="AC26" t="str">
        <f>IFERROR(INDEX('Bibliothèque MP INRA'!$Q:$Q,MATCH($A26,'Bibliothèque MP INRA'!$C:$C,0)),"")</f>
        <v/>
      </c>
      <c r="AD26" t="str">
        <f t="shared" si="12"/>
        <v/>
      </c>
      <c r="AE26" t="str">
        <f>IFERROR(INDEX('Bibliothèque MP INRA'!$S:$S,MATCH($A26,'Bibliothèque MP INRA'!$C:$C,0)),"")</f>
        <v/>
      </c>
      <c r="AF26" t="str">
        <f t="shared" si="13"/>
        <v/>
      </c>
    </row>
    <row r="27" spans="3:32" x14ac:dyDescent="0.35">
      <c r="C27" t="str">
        <f>IFERROR(INDEX('Bibliothèque MP INRA'!$D:$D,MATCH($A27,'Bibliothèque MP INRA'!$C:$C,0)),"")</f>
        <v/>
      </c>
      <c r="D27" t="str">
        <f t="shared" si="0"/>
        <v/>
      </c>
      <c r="E27" t="str">
        <f>IFERROR(INDEX('Bibliothèque MP INRA'!$E:$E,MATCH($A27,'Bibliothèque MP INRA'!$C:$C,0)),"")</f>
        <v/>
      </c>
      <c r="F27" t="str">
        <f t="shared" si="1"/>
        <v/>
      </c>
      <c r="G27" t="str">
        <f>IFERROR(INDEX('Bibliothèque MP INRA'!$I:$I,MATCH($A27,'Bibliothèque MP INRA'!$C:$C,0)),"")</f>
        <v/>
      </c>
      <c r="H27" t="str">
        <f t="shared" si="2"/>
        <v/>
      </c>
      <c r="I27" t="str">
        <f>IFERROR(INDEX('Bibliothèque MP INRA'!$G:$G,MATCH($A27,'Bibliothèque MP INRA'!$C:$C,0)),"")</f>
        <v/>
      </c>
      <c r="J27" t="str">
        <f t="shared" si="3"/>
        <v/>
      </c>
      <c r="K27" t="str">
        <f>IFERROR(INDEX('Bibliothèque MP INRA'!$H:$H,MATCH($A27,'Bibliothèque MP INRA'!$C:$C,0)),"")</f>
        <v/>
      </c>
      <c r="L27" t="str">
        <f t="shared" si="4"/>
        <v/>
      </c>
      <c r="M27" t="str">
        <f>IFERROR(INDEX('Bibliothèque MP INRA'!$J:$J,MATCH($A27,'Bibliothèque MP INRA'!$C:$C,0)),"")</f>
        <v/>
      </c>
      <c r="N27" t="str">
        <f t="shared" si="15"/>
        <v/>
      </c>
      <c r="O27" t="str">
        <f>IFERROR(INDEX('Bibliothèque MP INRA'!$K:$K,MATCH($A27,'Bibliothèque MP INRA'!$C:$C,0)),"")</f>
        <v/>
      </c>
      <c r="P27" t="str">
        <f t="shared" si="6"/>
        <v/>
      </c>
      <c r="Q27" t="str">
        <f>IFERROR(INDEX('Bibliothèque MP INRA'!$L:$L,MATCH($A27,'Bibliothèque MP INRA'!$C:$C,0)),"")</f>
        <v/>
      </c>
      <c r="R27" t="str">
        <f t="shared" si="7"/>
        <v/>
      </c>
      <c r="S27" t="str">
        <f>IFERROR(INDEX('Bibliothèque MP INRA'!$M:$M,MATCH($A27,'Bibliothèque MP INRA'!$C:$C,0)),"")</f>
        <v/>
      </c>
      <c r="T27" t="str">
        <f t="shared" si="8"/>
        <v/>
      </c>
      <c r="U27" t="str">
        <f>IFERROR(INDEX('Bibliothèque MP INRA'!$N:$N,MATCH($A27,'Bibliothèque MP INRA'!$C:$C,0)),"")</f>
        <v/>
      </c>
      <c r="V27" t="str">
        <f t="shared" si="9"/>
        <v/>
      </c>
      <c r="W27" t="str">
        <f>IFERROR(INDEX('Bibliothèque MP INRA'!$O:$O,MATCH($A27,'Bibliothèque MP INRA'!$C:$C,0)),"")</f>
        <v/>
      </c>
      <c r="X27" t="str">
        <f t="shared" si="16"/>
        <v/>
      </c>
      <c r="Y27" t="str">
        <f>IFERROR(INDEX('Bibliothèque MP INRA'!$P:$P,MATCH($A27,'Bibliothèque MP INRA'!$C:$C,0)),"")</f>
        <v/>
      </c>
      <c r="Z27" t="str">
        <f t="shared" si="10"/>
        <v/>
      </c>
      <c r="AA27" t="str">
        <f>IFERROR(INDEX('Bibliothèque MP INRA'!$R:$R,MATCH($A27,'Bibliothèque MP INRA'!$C:$C,0)),"")</f>
        <v/>
      </c>
      <c r="AB27" t="str">
        <f t="shared" si="11"/>
        <v/>
      </c>
      <c r="AC27" t="str">
        <f>IFERROR(INDEX('Bibliothèque MP INRA'!$Q:$Q,MATCH($A27,'Bibliothèque MP INRA'!$C:$C,0)),"")</f>
        <v/>
      </c>
      <c r="AD27" t="str">
        <f t="shared" si="12"/>
        <v/>
      </c>
      <c r="AE27" t="str">
        <f>IFERROR(INDEX('Bibliothèque MP INRA'!$S:$S,MATCH($A27,'Bibliothèque MP INRA'!$C:$C,0)),"")</f>
        <v/>
      </c>
      <c r="AF27" t="str">
        <f t="shared" si="13"/>
        <v/>
      </c>
    </row>
    <row r="28" spans="3:32" x14ac:dyDescent="0.35">
      <c r="C28" t="str">
        <f>IFERROR(INDEX('Bibliothèque MP INRA'!$D:$D,MATCH($A28,'Bibliothèque MP INRA'!$C:$C,0)),"")</f>
        <v/>
      </c>
      <c r="D28" t="str">
        <f t="shared" si="0"/>
        <v/>
      </c>
      <c r="E28" t="str">
        <f>IFERROR(INDEX('Bibliothèque MP INRA'!$E:$E,MATCH($A28,'Bibliothèque MP INRA'!$C:$C,0)),"")</f>
        <v/>
      </c>
      <c r="F28" t="str">
        <f t="shared" si="1"/>
        <v/>
      </c>
      <c r="G28" t="str">
        <f>IFERROR(INDEX('Bibliothèque MP INRA'!$I:$I,MATCH($A28,'Bibliothèque MP INRA'!$C:$C,0)),"")</f>
        <v/>
      </c>
      <c r="H28" t="str">
        <f t="shared" si="2"/>
        <v/>
      </c>
      <c r="I28" t="str">
        <f>IFERROR(INDEX('Bibliothèque MP INRA'!$G:$G,MATCH($A28,'Bibliothèque MP INRA'!$C:$C,0)),"")</f>
        <v/>
      </c>
      <c r="J28" t="str">
        <f t="shared" si="3"/>
        <v/>
      </c>
      <c r="K28" t="str">
        <f>IFERROR(INDEX('Bibliothèque MP INRA'!$H:$H,MATCH($A28,'Bibliothèque MP INRA'!$C:$C,0)),"")</f>
        <v/>
      </c>
      <c r="L28" t="str">
        <f t="shared" si="4"/>
        <v/>
      </c>
      <c r="M28" t="str">
        <f>IFERROR(INDEX('Bibliothèque MP INRA'!$J:$J,MATCH($A28,'Bibliothèque MP INRA'!$C:$C,0)),"")</f>
        <v/>
      </c>
      <c r="N28" t="str">
        <f t="shared" si="15"/>
        <v/>
      </c>
      <c r="O28" t="str">
        <f>IFERROR(INDEX('Bibliothèque MP INRA'!$K:$K,MATCH($A28,'Bibliothèque MP INRA'!$C:$C,0)),"")</f>
        <v/>
      </c>
      <c r="P28" t="str">
        <f t="shared" si="6"/>
        <v/>
      </c>
      <c r="Q28" t="str">
        <f>IFERROR(INDEX('Bibliothèque MP INRA'!$L:$L,MATCH($A28,'Bibliothèque MP INRA'!$C:$C,0)),"")</f>
        <v/>
      </c>
      <c r="R28" t="str">
        <f t="shared" si="7"/>
        <v/>
      </c>
      <c r="S28" t="str">
        <f>IFERROR(INDEX('Bibliothèque MP INRA'!$M:$M,MATCH($A28,'Bibliothèque MP INRA'!$C:$C,0)),"")</f>
        <v/>
      </c>
      <c r="T28" t="str">
        <f t="shared" si="8"/>
        <v/>
      </c>
      <c r="U28" t="str">
        <f>IFERROR(INDEX('Bibliothèque MP INRA'!$N:$N,MATCH($A28,'Bibliothèque MP INRA'!$C:$C,0)),"")</f>
        <v/>
      </c>
      <c r="V28" t="str">
        <f t="shared" si="9"/>
        <v/>
      </c>
      <c r="W28" t="str">
        <f>IFERROR(INDEX('Bibliothèque MP INRA'!$O:$O,MATCH($A28,'Bibliothèque MP INRA'!$C:$C,0)),"")</f>
        <v/>
      </c>
      <c r="X28" t="str">
        <f t="shared" si="16"/>
        <v/>
      </c>
      <c r="Y28" t="str">
        <f>IFERROR(INDEX('Bibliothèque MP INRA'!$P:$P,MATCH($A28,'Bibliothèque MP INRA'!$C:$C,0)),"")</f>
        <v/>
      </c>
      <c r="Z28" t="str">
        <f t="shared" si="10"/>
        <v/>
      </c>
      <c r="AA28" t="str">
        <f>IFERROR(INDEX('Bibliothèque MP INRA'!$R:$R,MATCH($A28,'Bibliothèque MP INRA'!$C:$C,0)),"")</f>
        <v/>
      </c>
      <c r="AB28" t="str">
        <f t="shared" si="11"/>
        <v/>
      </c>
      <c r="AC28" t="str">
        <f>IFERROR(INDEX('Bibliothèque MP INRA'!$Q:$Q,MATCH($A28,'Bibliothèque MP INRA'!$C:$C,0)),"")</f>
        <v/>
      </c>
      <c r="AD28" t="str">
        <f t="shared" si="12"/>
        <v/>
      </c>
      <c r="AE28" t="str">
        <f>IFERROR(INDEX('Bibliothèque MP INRA'!$S:$S,MATCH($A28,'Bibliothèque MP INRA'!$C:$C,0)),"")</f>
        <v/>
      </c>
      <c r="AF28" t="str">
        <f t="shared" si="13"/>
        <v/>
      </c>
    </row>
    <row r="29" spans="3:32" x14ac:dyDescent="0.35">
      <c r="C29" t="str">
        <f>IFERROR(INDEX('Bibliothèque MP INRA'!$D:$D,MATCH($A29,'Bibliothèque MP INRA'!$C:$C,0)),"")</f>
        <v/>
      </c>
      <c r="D29" t="str">
        <f t="shared" si="0"/>
        <v/>
      </c>
      <c r="E29" t="str">
        <f>IFERROR(INDEX('Bibliothèque MP INRA'!$E:$E,MATCH($A29,'Bibliothèque MP INRA'!$C:$C,0)),"")</f>
        <v/>
      </c>
      <c r="F29" t="str">
        <f t="shared" si="1"/>
        <v/>
      </c>
      <c r="G29" t="str">
        <f>IFERROR(INDEX('Bibliothèque MP INRA'!$I:$I,MATCH($A29,'Bibliothèque MP INRA'!$C:$C,0)),"")</f>
        <v/>
      </c>
      <c r="H29" t="str">
        <f t="shared" si="2"/>
        <v/>
      </c>
      <c r="I29" t="str">
        <f>IFERROR(INDEX('Bibliothèque MP INRA'!$G:$G,MATCH($A29,'Bibliothèque MP INRA'!$C:$C,0)),"")</f>
        <v/>
      </c>
      <c r="J29" t="str">
        <f t="shared" si="3"/>
        <v/>
      </c>
      <c r="K29" t="str">
        <f>IFERROR(INDEX('Bibliothèque MP INRA'!$H:$H,MATCH($A29,'Bibliothèque MP INRA'!$C:$C,0)),"")</f>
        <v/>
      </c>
      <c r="L29" t="str">
        <f t="shared" si="4"/>
        <v/>
      </c>
      <c r="M29" t="str">
        <f>IFERROR(INDEX('Bibliothèque MP INRA'!$J:$J,MATCH($A29,'Bibliothèque MP INRA'!$C:$C,0)),"")</f>
        <v/>
      </c>
      <c r="N29" t="str">
        <f t="shared" si="15"/>
        <v/>
      </c>
      <c r="O29" t="str">
        <f>IFERROR(INDEX('Bibliothèque MP INRA'!$K:$K,MATCH($A29,'Bibliothèque MP INRA'!$C:$C,0)),"")</f>
        <v/>
      </c>
      <c r="P29" t="str">
        <f t="shared" si="6"/>
        <v/>
      </c>
      <c r="Q29" t="str">
        <f>IFERROR(INDEX('Bibliothèque MP INRA'!$L:$L,MATCH($A29,'Bibliothèque MP INRA'!$C:$C,0)),"")</f>
        <v/>
      </c>
      <c r="R29" t="str">
        <f t="shared" si="7"/>
        <v/>
      </c>
      <c r="S29" t="str">
        <f>IFERROR(INDEX('Bibliothèque MP INRA'!$M:$M,MATCH($A29,'Bibliothèque MP INRA'!$C:$C,0)),"")</f>
        <v/>
      </c>
      <c r="T29" t="str">
        <f t="shared" si="8"/>
        <v/>
      </c>
      <c r="U29" t="str">
        <f>IFERROR(INDEX('Bibliothèque MP INRA'!$N:$N,MATCH($A29,'Bibliothèque MP INRA'!$C:$C,0)),"")</f>
        <v/>
      </c>
      <c r="V29" t="str">
        <f t="shared" si="9"/>
        <v/>
      </c>
      <c r="W29" t="str">
        <f>IFERROR(INDEX('Bibliothèque MP INRA'!$O:$O,MATCH($A29,'Bibliothèque MP INRA'!$C:$C,0)),"")</f>
        <v/>
      </c>
      <c r="X29" t="str">
        <f t="shared" si="16"/>
        <v/>
      </c>
      <c r="Y29" t="str">
        <f>IFERROR(INDEX('Bibliothèque MP INRA'!$P:$P,MATCH($A29,'Bibliothèque MP INRA'!$C:$C,0)),"")</f>
        <v/>
      </c>
      <c r="Z29" t="str">
        <f t="shared" si="10"/>
        <v/>
      </c>
      <c r="AA29" t="str">
        <f>IFERROR(INDEX('Bibliothèque MP INRA'!$R:$R,MATCH($A29,'Bibliothèque MP INRA'!$C:$C,0)),"")</f>
        <v/>
      </c>
      <c r="AB29" t="str">
        <f t="shared" si="11"/>
        <v/>
      </c>
      <c r="AC29" t="str">
        <f>IFERROR(INDEX('Bibliothèque MP INRA'!$Q:$Q,MATCH($A29,'Bibliothèque MP INRA'!$C:$C,0)),"")</f>
        <v/>
      </c>
      <c r="AD29" t="str">
        <f t="shared" si="12"/>
        <v/>
      </c>
      <c r="AE29" t="str">
        <f>IFERROR(INDEX('Bibliothèque MP INRA'!$S:$S,MATCH($A29,'Bibliothèque MP INRA'!$C:$C,0)),"")</f>
        <v/>
      </c>
      <c r="AF29" t="str">
        <f t="shared" si="13"/>
        <v/>
      </c>
    </row>
    <row r="30" spans="3:32" x14ac:dyDescent="0.35">
      <c r="C30" t="str">
        <f>IFERROR(INDEX('Bibliothèque MP INRA'!$D:$D,MATCH($A30,'Bibliothèque MP INRA'!$C:$C,0)),"")</f>
        <v/>
      </c>
      <c r="D30" t="str">
        <f t="shared" si="0"/>
        <v/>
      </c>
      <c r="E30" t="str">
        <f>IFERROR(INDEX('Bibliothèque MP INRA'!$E:$E,MATCH($A30,'Bibliothèque MP INRA'!$C:$C,0)),"")</f>
        <v/>
      </c>
      <c r="F30" t="str">
        <f t="shared" si="1"/>
        <v/>
      </c>
      <c r="G30" t="str">
        <f>IFERROR(INDEX('Bibliothèque MP INRA'!$I:$I,MATCH($A30,'Bibliothèque MP INRA'!$C:$C,0)),"")</f>
        <v/>
      </c>
      <c r="H30" t="str">
        <f t="shared" si="2"/>
        <v/>
      </c>
      <c r="I30" t="str">
        <f>IFERROR(INDEX('Bibliothèque MP INRA'!$G:$G,MATCH($A30,'Bibliothèque MP INRA'!$C:$C,0)),"")</f>
        <v/>
      </c>
      <c r="J30" t="str">
        <f t="shared" si="3"/>
        <v/>
      </c>
      <c r="K30" t="str">
        <f>IFERROR(INDEX('Bibliothèque MP INRA'!$H:$H,MATCH($A30,'Bibliothèque MP INRA'!$C:$C,0)),"")</f>
        <v/>
      </c>
      <c r="L30" t="str">
        <f t="shared" si="4"/>
        <v/>
      </c>
      <c r="M30" t="str">
        <f>IFERROR(INDEX('Bibliothèque MP INRA'!$J:$J,MATCH($A30,'Bibliothèque MP INRA'!$C:$C,0)),"")</f>
        <v/>
      </c>
      <c r="N30" t="str">
        <f t="shared" si="15"/>
        <v/>
      </c>
      <c r="O30" t="str">
        <f>IFERROR(INDEX('Bibliothèque MP INRA'!$K:$K,MATCH($A30,'Bibliothèque MP INRA'!$C:$C,0)),"")</f>
        <v/>
      </c>
      <c r="P30" t="str">
        <f t="shared" si="6"/>
        <v/>
      </c>
      <c r="Q30" t="str">
        <f>IFERROR(INDEX('Bibliothèque MP INRA'!$L:$L,MATCH($A30,'Bibliothèque MP INRA'!$C:$C,0)),"")</f>
        <v/>
      </c>
      <c r="R30" t="str">
        <f t="shared" si="7"/>
        <v/>
      </c>
      <c r="S30" t="str">
        <f>IFERROR(INDEX('Bibliothèque MP INRA'!$M:$M,MATCH($A30,'Bibliothèque MP INRA'!$C:$C,0)),"")</f>
        <v/>
      </c>
      <c r="T30" t="str">
        <f t="shared" si="8"/>
        <v/>
      </c>
      <c r="U30" t="str">
        <f>IFERROR(INDEX('Bibliothèque MP INRA'!$N:$N,MATCH($A30,'Bibliothèque MP INRA'!$C:$C,0)),"")</f>
        <v/>
      </c>
      <c r="V30" t="str">
        <f t="shared" si="9"/>
        <v/>
      </c>
      <c r="W30" t="str">
        <f>IFERROR(INDEX('Bibliothèque MP INRA'!$O:$O,MATCH($A30,'Bibliothèque MP INRA'!$C:$C,0)),"")</f>
        <v/>
      </c>
      <c r="X30" t="str">
        <f t="shared" si="16"/>
        <v/>
      </c>
      <c r="Y30" t="str">
        <f>IFERROR(INDEX('Bibliothèque MP INRA'!$P:$P,MATCH($A30,'Bibliothèque MP INRA'!$C:$C,0)),"")</f>
        <v/>
      </c>
      <c r="Z30" t="str">
        <f t="shared" si="10"/>
        <v/>
      </c>
      <c r="AA30" t="str">
        <f>IFERROR(INDEX('Bibliothèque MP INRA'!$R:$R,MATCH($A30,'Bibliothèque MP INRA'!$C:$C,0)),"")</f>
        <v/>
      </c>
      <c r="AB30" t="str">
        <f t="shared" si="11"/>
        <v/>
      </c>
      <c r="AC30" t="str">
        <f>IFERROR(INDEX('Bibliothèque MP INRA'!$Q:$Q,MATCH($A30,'Bibliothèque MP INRA'!$C:$C,0)),"")</f>
        <v/>
      </c>
      <c r="AD30" t="str">
        <f t="shared" si="12"/>
        <v/>
      </c>
      <c r="AE30" t="str">
        <f>IFERROR(INDEX('Bibliothèque MP INRA'!$S:$S,MATCH($A30,'Bibliothèque MP INRA'!$C:$C,0)),"")</f>
        <v/>
      </c>
      <c r="AF30" t="str">
        <f t="shared" si="13"/>
        <v/>
      </c>
    </row>
    <row r="31" spans="3:32" x14ac:dyDescent="0.35">
      <c r="C31" t="str">
        <f>IFERROR(INDEX('Bibliothèque MP INRA'!$D:$D,MATCH($A31,'Bibliothèque MP INRA'!$C:$C,0)),"")</f>
        <v/>
      </c>
      <c r="D31" t="str">
        <f t="shared" si="0"/>
        <v/>
      </c>
      <c r="E31" t="str">
        <f>IFERROR(INDEX('Bibliothèque MP INRA'!$E:$E,MATCH($A31,'Bibliothèque MP INRA'!$C:$C,0)),"")</f>
        <v/>
      </c>
      <c r="F31" t="str">
        <f t="shared" si="1"/>
        <v/>
      </c>
      <c r="G31" t="str">
        <f>IFERROR(INDEX('Bibliothèque MP INRA'!$I:$I,MATCH($A31,'Bibliothèque MP INRA'!$C:$C,0)),"")</f>
        <v/>
      </c>
      <c r="H31" t="str">
        <f t="shared" si="2"/>
        <v/>
      </c>
      <c r="I31" t="str">
        <f>IFERROR(INDEX('Bibliothèque MP INRA'!$G:$G,MATCH($A31,'Bibliothèque MP INRA'!$C:$C,0)),"")</f>
        <v/>
      </c>
      <c r="J31" t="str">
        <f t="shared" si="3"/>
        <v/>
      </c>
      <c r="K31" t="str">
        <f>IFERROR(INDEX('Bibliothèque MP INRA'!$H:$H,MATCH($A31,'Bibliothèque MP INRA'!$C:$C,0)),"")</f>
        <v/>
      </c>
      <c r="L31" t="str">
        <f t="shared" si="4"/>
        <v/>
      </c>
      <c r="M31" t="str">
        <f>IFERROR(INDEX('Bibliothèque MP INRA'!$J:$J,MATCH($A31,'Bibliothèque MP INRA'!$C:$C,0)),"")</f>
        <v/>
      </c>
      <c r="N31" t="str">
        <f t="shared" si="15"/>
        <v/>
      </c>
      <c r="O31" t="str">
        <f>IFERROR(INDEX('Bibliothèque MP INRA'!$K:$K,MATCH($A31,'Bibliothèque MP INRA'!$C:$C,0)),"")</f>
        <v/>
      </c>
      <c r="P31" t="str">
        <f t="shared" si="6"/>
        <v/>
      </c>
      <c r="Q31" t="str">
        <f>IFERROR(INDEX('Bibliothèque MP INRA'!$L:$L,MATCH($A31,'Bibliothèque MP INRA'!$C:$C,0)),"")</f>
        <v/>
      </c>
      <c r="R31" t="str">
        <f t="shared" si="7"/>
        <v/>
      </c>
      <c r="S31" t="str">
        <f>IFERROR(INDEX('Bibliothèque MP INRA'!$M:$M,MATCH($A31,'Bibliothèque MP INRA'!$C:$C,0)),"")</f>
        <v/>
      </c>
      <c r="T31" t="str">
        <f t="shared" si="8"/>
        <v/>
      </c>
      <c r="U31" t="str">
        <f>IFERROR(INDEX('Bibliothèque MP INRA'!$N:$N,MATCH($A31,'Bibliothèque MP INRA'!$C:$C,0)),"")</f>
        <v/>
      </c>
      <c r="V31" t="str">
        <f t="shared" si="9"/>
        <v/>
      </c>
      <c r="W31" t="str">
        <f>IFERROR(INDEX('Bibliothèque MP INRA'!$O:$O,MATCH($A31,'Bibliothèque MP INRA'!$C:$C,0)),"")</f>
        <v/>
      </c>
      <c r="X31" t="str">
        <f t="shared" si="16"/>
        <v/>
      </c>
      <c r="Y31" t="str">
        <f>IFERROR(INDEX('Bibliothèque MP INRA'!$P:$P,MATCH($A31,'Bibliothèque MP INRA'!$C:$C,0)),"")</f>
        <v/>
      </c>
      <c r="Z31" t="str">
        <f t="shared" si="10"/>
        <v/>
      </c>
      <c r="AA31" t="str">
        <f>IFERROR(INDEX('Bibliothèque MP INRA'!$R:$R,MATCH($A31,'Bibliothèque MP INRA'!$C:$C,0)),"")</f>
        <v/>
      </c>
      <c r="AB31" t="str">
        <f t="shared" si="11"/>
        <v/>
      </c>
      <c r="AC31" t="str">
        <f>IFERROR(INDEX('Bibliothèque MP INRA'!$Q:$Q,MATCH($A31,'Bibliothèque MP INRA'!$C:$C,0)),"")</f>
        <v/>
      </c>
      <c r="AD31" t="str">
        <f t="shared" si="12"/>
        <v/>
      </c>
      <c r="AE31" t="str">
        <f>IFERROR(INDEX('Bibliothèque MP INRA'!$S:$S,MATCH($A31,'Bibliothèque MP INRA'!$C:$C,0)),"")</f>
        <v/>
      </c>
      <c r="AF31" t="str">
        <f t="shared" si="13"/>
        <v/>
      </c>
    </row>
    <row r="32" spans="3:32" x14ac:dyDescent="0.35">
      <c r="C32" t="str">
        <f>IFERROR(INDEX('Bibliothèque MP INRA'!$D:$D,MATCH($A32,'Bibliothèque MP INRA'!$C:$C,0)),"")</f>
        <v/>
      </c>
      <c r="D32" t="str">
        <f t="shared" si="0"/>
        <v/>
      </c>
      <c r="E32" t="str">
        <f>IFERROR(INDEX('Bibliothèque MP INRA'!$E:$E,MATCH($A32,'Bibliothèque MP INRA'!$C:$C,0)),"")</f>
        <v/>
      </c>
      <c r="F32" t="str">
        <f t="shared" si="1"/>
        <v/>
      </c>
      <c r="G32" t="str">
        <f>IFERROR(INDEX('Bibliothèque MP INRA'!$I:$I,MATCH($A32,'Bibliothèque MP INRA'!$C:$C,0)),"")</f>
        <v/>
      </c>
      <c r="H32" t="str">
        <f t="shared" si="2"/>
        <v/>
      </c>
      <c r="I32" t="str">
        <f>IFERROR(INDEX('Bibliothèque MP INRA'!$G:$G,MATCH($A32,'Bibliothèque MP INRA'!$C:$C,0)),"")</f>
        <v/>
      </c>
      <c r="J32" t="str">
        <f t="shared" si="3"/>
        <v/>
      </c>
      <c r="K32" t="str">
        <f>IFERROR(INDEX('Bibliothèque MP INRA'!$H:$H,MATCH($A32,'Bibliothèque MP INRA'!$C:$C,0)),"")</f>
        <v/>
      </c>
      <c r="L32" t="str">
        <f t="shared" si="4"/>
        <v/>
      </c>
      <c r="M32" t="str">
        <f>IFERROR(INDEX('Bibliothèque MP INRA'!$J:$J,MATCH($A32,'Bibliothèque MP INRA'!$C:$C,0)),"")</f>
        <v/>
      </c>
      <c r="N32" t="str">
        <f t="shared" si="15"/>
        <v/>
      </c>
      <c r="O32" t="str">
        <f>IFERROR(INDEX('Bibliothèque MP INRA'!$K:$K,MATCH($A32,'Bibliothèque MP INRA'!$C:$C,0)),"")</f>
        <v/>
      </c>
      <c r="P32" t="str">
        <f t="shared" si="6"/>
        <v/>
      </c>
      <c r="Q32" t="str">
        <f>IFERROR(INDEX('Bibliothèque MP INRA'!$L:$L,MATCH($A32,'Bibliothèque MP INRA'!$C:$C,0)),"")</f>
        <v/>
      </c>
      <c r="R32" t="str">
        <f t="shared" si="7"/>
        <v/>
      </c>
      <c r="S32" t="str">
        <f>IFERROR(INDEX('Bibliothèque MP INRA'!$M:$M,MATCH($A32,'Bibliothèque MP INRA'!$C:$C,0)),"")</f>
        <v/>
      </c>
      <c r="T32" t="str">
        <f t="shared" si="8"/>
        <v/>
      </c>
      <c r="U32" t="str">
        <f>IFERROR(INDEX('Bibliothèque MP INRA'!$N:$N,MATCH($A32,'Bibliothèque MP INRA'!$C:$C,0)),"")</f>
        <v/>
      </c>
      <c r="V32" t="str">
        <f t="shared" si="9"/>
        <v/>
      </c>
      <c r="W32" t="str">
        <f>IFERROR(INDEX('Bibliothèque MP INRA'!$O:$O,MATCH($A32,'Bibliothèque MP INRA'!$C:$C,0)),"")</f>
        <v/>
      </c>
      <c r="X32" t="str">
        <f t="shared" si="16"/>
        <v/>
      </c>
      <c r="Y32" t="str">
        <f>IFERROR(INDEX('Bibliothèque MP INRA'!$P:$P,MATCH($A32,'Bibliothèque MP INRA'!$C:$C,0)),"")</f>
        <v/>
      </c>
      <c r="Z32" t="str">
        <f t="shared" si="10"/>
        <v/>
      </c>
      <c r="AA32" t="str">
        <f>IFERROR(INDEX('Bibliothèque MP INRA'!$R:$R,MATCH($A32,'Bibliothèque MP INRA'!$C:$C,0)),"")</f>
        <v/>
      </c>
      <c r="AB32" t="str">
        <f t="shared" si="11"/>
        <v/>
      </c>
      <c r="AC32" t="str">
        <f>IFERROR(INDEX('Bibliothèque MP INRA'!$Q:$Q,MATCH($A32,'Bibliothèque MP INRA'!$C:$C,0)),"")</f>
        <v/>
      </c>
      <c r="AD32" t="str">
        <f t="shared" si="12"/>
        <v/>
      </c>
      <c r="AE32" t="str">
        <f>IFERROR(INDEX('Bibliothèque MP INRA'!$S:$S,MATCH($A32,'Bibliothèque MP INRA'!$C:$C,0)),"")</f>
        <v/>
      </c>
      <c r="AF32" t="str">
        <f t="shared" si="13"/>
        <v/>
      </c>
    </row>
    <row r="33" spans="1:32" x14ac:dyDescent="0.35">
      <c r="C33" t="str">
        <f>IFERROR(INDEX('Bibliothèque MP INRA'!$D:$D,MATCH($A33,'Bibliothèque MP INRA'!$C:$C,0)),"")</f>
        <v/>
      </c>
      <c r="D33" t="str">
        <f t="shared" si="0"/>
        <v/>
      </c>
      <c r="E33" t="str">
        <f>IFERROR(INDEX('Bibliothèque MP INRA'!$E:$E,MATCH($A33,'Bibliothèque MP INRA'!$C:$C,0)),"")</f>
        <v/>
      </c>
      <c r="F33" t="str">
        <f t="shared" si="1"/>
        <v/>
      </c>
      <c r="G33" t="str">
        <f>IFERROR(INDEX('Bibliothèque MP INRA'!$I:$I,MATCH($A33,'Bibliothèque MP INRA'!$C:$C,0)),"")</f>
        <v/>
      </c>
      <c r="H33" t="str">
        <f t="shared" si="2"/>
        <v/>
      </c>
      <c r="I33" t="str">
        <f>IFERROR(INDEX('Bibliothèque MP INRA'!$G:$G,MATCH($A33,'Bibliothèque MP INRA'!$C:$C,0)),"")</f>
        <v/>
      </c>
      <c r="J33" t="str">
        <f t="shared" si="3"/>
        <v/>
      </c>
      <c r="K33" t="str">
        <f>IFERROR(INDEX('Bibliothèque MP INRA'!$H:$H,MATCH($A33,'Bibliothèque MP INRA'!$C:$C,0)),"")</f>
        <v/>
      </c>
      <c r="L33" t="str">
        <f t="shared" si="4"/>
        <v/>
      </c>
      <c r="M33" t="str">
        <f>IFERROR(INDEX('Bibliothèque MP INRA'!$J:$J,MATCH($A33,'Bibliothèque MP INRA'!$C:$C,0)),"")</f>
        <v/>
      </c>
      <c r="N33" t="str">
        <f t="shared" si="15"/>
        <v/>
      </c>
      <c r="O33" t="str">
        <f>IFERROR(INDEX('Bibliothèque MP INRA'!$K:$K,MATCH($A33,'Bibliothèque MP INRA'!$C:$C,0)),"")</f>
        <v/>
      </c>
      <c r="P33" t="str">
        <f t="shared" si="6"/>
        <v/>
      </c>
      <c r="Q33" t="str">
        <f>IFERROR(INDEX('Bibliothèque MP INRA'!$L:$L,MATCH($A33,'Bibliothèque MP INRA'!$C:$C,0)),"")</f>
        <v/>
      </c>
      <c r="R33" t="str">
        <f t="shared" si="7"/>
        <v/>
      </c>
      <c r="S33" t="str">
        <f>IFERROR(INDEX('Bibliothèque MP INRA'!$M:$M,MATCH($A33,'Bibliothèque MP INRA'!$C:$C,0)),"")</f>
        <v/>
      </c>
      <c r="T33" t="str">
        <f t="shared" si="8"/>
        <v/>
      </c>
      <c r="U33" t="str">
        <f>IFERROR(INDEX('Bibliothèque MP INRA'!$N:$N,MATCH($A33,'Bibliothèque MP INRA'!$C:$C,0)),"")</f>
        <v/>
      </c>
      <c r="V33" t="str">
        <f t="shared" si="9"/>
        <v/>
      </c>
      <c r="W33" t="str">
        <f>IFERROR(INDEX('Bibliothèque MP INRA'!$O:$O,MATCH($A33,'Bibliothèque MP INRA'!$C:$C,0)),"")</f>
        <v/>
      </c>
      <c r="X33" t="str">
        <f t="shared" si="16"/>
        <v/>
      </c>
      <c r="Y33" t="str">
        <f>IFERROR(INDEX('Bibliothèque MP INRA'!$P:$P,MATCH($A33,'Bibliothèque MP INRA'!$C:$C,0)),"")</f>
        <v/>
      </c>
      <c r="Z33" t="str">
        <f t="shared" si="10"/>
        <v/>
      </c>
      <c r="AA33" t="str">
        <f>IFERROR(INDEX('Bibliothèque MP INRA'!$R:$R,MATCH($A33,'Bibliothèque MP INRA'!$C:$C,0)),"")</f>
        <v/>
      </c>
      <c r="AB33" t="str">
        <f t="shared" si="11"/>
        <v/>
      </c>
      <c r="AC33" t="str">
        <f>IFERROR(INDEX('Bibliothèque MP INRA'!$Q:$Q,MATCH($A33,'Bibliothèque MP INRA'!$C:$C,0)),"")</f>
        <v/>
      </c>
      <c r="AD33" t="str">
        <f t="shared" si="12"/>
        <v/>
      </c>
      <c r="AE33" t="str">
        <f>IFERROR(INDEX('Bibliothèque MP INRA'!$S:$S,MATCH($A33,'Bibliothèque MP INRA'!$C:$C,0)),"")</f>
        <v/>
      </c>
      <c r="AF33" t="str">
        <f t="shared" si="13"/>
        <v/>
      </c>
    </row>
    <row r="35" spans="1:32" x14ac:dyDescent="0.35">
      <c r="A35" s="5" t="s">
        <v>189</v>
      </c>
      <c r="B35">
        <f>SUM(B4:B34)</f>
        <v>32.28</v>
      </c>
      <c r="C35">
        <f>IFERROR(AVERAGE(C4:C33),"")</f>
        <v>86.3</v>
      </c>
      <c r="D35">
        <f>SUM(D4:D33)</f>
        <v>14.71</v>
      </c>
      <c r="E35">
        <f>IFERROR(AVERAGE(E4:E33),"")</f>
        <v>0.68100000000000005</v>
      </c>
      <c r="F35">
        <f>SUM(F4:F33)</f>
        <v>13.665600000000001</v>
      </c>
      <c r="G35">
        <f>IFERROR(AVERAGE(G4:G33),"")</f>
        <v>9.6999999999999993</v>
      </c>
      <c r="H35">
        <f>SUM(H4:H33)</f>
        <v>1.6514000000000002</v>
      </c>
      <c r="I35">
        <f>IFERROR(AVERAGE(I4:I33),"")</f>
        <v>57.2</v>
      </c>
      <c r="J35">
        <f>SUM(J4:J33)</f>
        <v>1057.3399999999999</v>
      </c>
      <c r="K35">
        <f>IFERROR(AVERAGE(K4:K33),"")</f>
        <v>64.5</v>
      </c>
      <c r="L35">
        <f>SUM(L4:L33)</f>
        <v>1317.1599999999999</v>
      </c>
      <c r="M35">
        <f>IFERROR(AVERAGE(M4:M33),"")</f>
        <v>22.7</v>
      </c>
      <c r="N35">
        <f>SUM(N4:N33)</f>
        <v>4.4338000000000006</v>
      </c>
      <c r="O35">
        <f>IFERROR(AVERAGE(O4:O33),"")</f>
        <v>2</v>
      </c>
      <c r="P35">
        <f>SUM(P4:P33)</f>
        <v>0.42420000000000002</v>
      </c>
      <c r="Q35">
        <f>IFERROR(AVERAGE(Q4:Q33),"")</f>
        <v>19.8</v>
      </c>
      <c r="R35">
        <f>SUM(R4:R33)</f>
        <v>5.0037999999999991</v>
      </c>
      <c r="S35">
        <f>IFERROR(AVERAGE(S4:S33),"")</f>
        <v>11.3</v>
      </c>
      <c r="T35">
        <f>SUM(T4:T33)</f>
        <v>2.8899999999999997</v>
      </c>
      <c r="U35">
        <f>IFERROR(AVERAGE(U4:U33),"")</f>
        <v>1.78</v>
      </c>
      <c r="V35">
        <f>SUM(V4:V33)</f>
        <v>0.42174999999999996</v>
      </c>
      <c r="W35">
        <f>IFERROR(AVERAGE(W4:W33),"")</f>
        <v>2.617</v>
      </c>
      <c r="X35">
        <f>SUM(X4:X34)*10</f>
        <v>29.6952</v>
      </c>
      <c r="Y35">
        <f>IFERROR(AVERAGE(Y4:Y33),"")</f>
        <v>0.71299999999999997</v>
      </c>
      <c r="Z35">
        <f>SUM(Z4:Z33)*1000</f>
        <v>37.908000000000001</v>
      </c>
      <c r="AA35">
        <f>IFERROR(AVERAGE(AA4:AA33),"")</f>
        <v>1.6E-2</v>
      </c>
      <c r="AB35">
        <f>SUM(AB4:AB33)*1000</f>
        <v>3.1530000000000005</v>
      </c>
      <c r="AC35">
        <f>IFERROR(AVERAGE(AC4:AC33),"")</f>
        <v>0.61</v>
      </c>
      <c r="AD35">
        <f>SUM(AD4:AD33)*1000</f>
        <v>144.9</v>
      </c>
      <c r="AF35">
        <f>SUM(AF4:AF33)</f>
        <v>0</v>
      </c>
    </row>
    <row r="36" spans="1:32" x14ac:dyDescent="0.35">
      <c r="F36">
        <f>F35/D35</f>
        <v>0.92900067980965328</v>
      </c>
      <c r="H36">
        <f>H35/D35</f>
        <v>0.11226376614547927</v>
      </c>
      <c r="J36">
        <f>J35/D35</f>
        <v>71.878993881713114</v>
      </c>
      <c r="L36">
        <f>L35/D35</f>
        <v>89.541808293677761</v>
      </c>
      <c r="N36">
        <f>N35/D35</f>
        <v>0.30141400407885793</v>
      </c>
      <c r="R36">
        <f>R35/D35*100</f>
        <v>34.016315431679125</v>
      </c>
      <c r="T36">
        <f>T35/D35*100</f>
        <v>19.646498980285518</v>
      </c>
      <c r="X36">
        <f>X35/D35</f>
        <v>2.0187083616587356</v>
      </c>
    </row>
  </sheetData>
  <dataValidations count="1">
    <dataValidation type="list" allowBlank="1" sqref="A2:A80" xr:uid="{00000000-0002-0000-0300-000001000000}">
      <formula1>ListeMP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'Bibliothèque MP INRA'!$C$2:$C$74</xm:f>
          </x14:formula1>
          <xm:sqref>A4:A33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B8CE-B3F4-49A4-8114-2FE08CD1A3BE}">
  <dimension ref="A1:E32"/>
  <sheetViews>
    <sheetView zoomScale="70" zoomScaleNormal="70" workbookViewId="0">
      <selection activeCell="B32" sqref="B32"/>
    </sheetView>
  </sheetViews>
  <sheetFormatPr baseColWidth="10" defaultRowHeight="14.5" x14ac:dyDescent="0.35"/>
  <cols>
    <col min="1" max="1" width="26.54296875" customWidth="1"/>
    <col min="2" max="2" width="16.36328125" customWidth="1"/>
    <col min="3" max="3" width="14.7265625" customWidth="1"/>
    <col min="4" max="4" width="13" customWidth="1"/>
    <col min="5" max="5" width="18.1796875" customWidth="1"/>
  </cols>
  <sheetData>
    <row r="1" spans="1:5" ht="18.5" x14ac:dyDescent="0.45">
      <c r="A1" s="6" t="s">
        <v>190</v>
      </c>
    </row>
    <row r="3" spans="1:5" x14ac:dyDescent="0.35">
      <c r="A3" s="3" t="s">
        <v>191</v>
      </c>
      <c r="B3" s="3" t="s">
        <v>192</v>
      </c>
      <c r="C3" s="3" t="s">
        <v>193</v>
      </c>
      <c r="D3" s="3" t="s">
        <v>194</v>
      </c>
      <c r="E3" s="3" t="s">
        <v>195</v>
      </c>
    </row>
    <row r="4" spans="1:5" x14ac:dyDescent="0.35">
      <c r="A4" t="s">
        <v>196</v>
      </c>
      <c r="B4">
        <f>'Ration Formulation'!D35</f>
        <v>14.71</v>
      </c>
      <c r="C4">
        <f>AVERAGE('Besoins INRAE'!B26,'Besoins INRAE'!B27)</f>
        <v>19.978458707845647</v>
      </c>
      <c r="D4" s="9">
        <f>IFERROR(B4/C4*100,"")</f>
        <v>73.629303516908976</v>
      </c>
      <c r="E4" t="str">
        <f>IF(D4="","",IF(D4&lt;95,"DEFICIT",IF(D4&gt;115,"EXCES","OK")))</f>
        <v>DEFICIT</v>
      </c>
    </row>
    <row r="5" spans="1:5" x14ac:dyDescent="0.35">
      <c r="A5" t="s">
        <v>197</v>
      </c>
      <c r="B5">
        <f>'Ration Formulation'!F35</f>
        <v>13.665600000000001</v>
      </c>
      <c r="C5">
        <f>'Besoins INRAE'!B34</f>
        <v>18.069225674122169</v>
      </c>
      <c r="D5" s="9">
        <f t="shared" ref="D5:D12" si="0">IFERROR(B5/C5*100,"")</f>
        <v>75.629140099629083</v>
      </c>
      <c r="E5" t="str">
        <f t="shared" ref="E5:E12" si="1">IF(D5="","",IF(D5&lt;95,"DEFICIT",IF(D5&gt;115,"EXCES","OK")))</f>
        <v>DEFICIT</v>
      </c>
    </row>
    <row r="6" spans="1:5" x14ac:dyDescent="0.35">
      <c r="A6" t="s">
        <v>35</v>
      </c>
      <c r="B6">
        <f>'Ration Formulation'!J35</f>
        <v>1057.3399999999999</v>
      </c>
      <c r="C6">
        <f>'Besoins INRAE'!B39</f>
        <v>2158.5090361244534</v>
      </c>
      <c r="D6" s="9">
        <f t="shared" si="0"/>
        <v>48.984738182909176</v>
      </c>
      <c r="E6" t="str">
        <f t="shared" si="1"/>
        <v>DEFICIT</v>
      </c>
    </row>
    <row r="7" spans="1:5" x14ac:dyDescent="0.35">
      <c r="A7" t="s">
        <v>36</v>
      </c>
      <c r="B7">
        <f>'Ration Formulation'!L35</f>
        <v>1317.1599999999999</v>
      </c>
      <c r="C7">
        <f>'Besoins INRAE'!B39</f>
        <v>2158.5090361244534</v>
      </c>
      <c r="D7" s="9">
        <f t="shared" si="0"/>
        <v>61.021750567462348</v>
      </c>
      <c r="E7" t="str">
        <f t="shared" si="1"/>
        <v>DEFICIT</v>
      </c>
    </row>
    <row r="8" spans="1:5" x14ac:dyDescent="0.35">
      <c r="A8" t="s">
        <v>198</v>
      </c>
      <c r="B8">
        <f>'Ration Formulation'!R35</f>
        <v>5.0037999999999991</v>
      </c>
      <c r="C8">
        <f>'Besoins INRAE'!B40</f>
        <v>6.4246135730212153</v>
      </c>
      <c r="D8" s="9">
        <f t="shared" si="0"/>
        <v>77.884839969401156</v>
      </c>
      <c r="E8" t="str">
        <f t="shared" si="1"/>
        <v>DEFICIT</v>
      </c>
    </row>
    <row r="9" spans="1:5" x14ac:dyDescent="0.35">
      <c r="A9" t="s">
        <v>199</v>
      </c>
      <c r="B9">
        <f>'Ration Formulation'!T35</f>
        <v>2.8899999999999997</v>
      </c>
      <c r="C9">
        <f>'Besoins INRAE'!B41</f>
        <v>4.01538348313826</v>
      </c>
      <c r="D9" s="9">
        <f t="shared" si="0"/>
        <v>71.973200371419907</v>
      </c>
      <c r="E9" t="str">
        <f t="shared" si="1"/>
        <v>DEFICIT</v>
      </c>
    </row>
    <row r="10" spans="1:5" x14ac:dyDescent="0.35">
      <c r="A10" t="s">
        <v>200</v>
      </c>
      <c r="B10">
        <f>'Ration Formulation'!N35</f>
        <v>4.4338000000000006</v>
      </c>
      <c r="C10">
        <f>'Besoins INRAE'!B42</f>
        <v>4.9420104407855501</v>
      </c>
      <c r="D10" s="9">
        <f t="shared" si="0"/>
        <v>89.716524340147544</v>
      </c>
      <c r="E10" t="str">
        <f t="shared" si="1"/>
        <v>DEFICIT</v>
      </c>
    </row>
    <row r="11" spans="1:5" x14ac:dyDescent="0.35">
      <c r="A11" t="s">
        <v>201</v>
      </c>
      <c r="B11">
        <f>'Ration Formulation'!X35</f>
        <v>29.6952</v>
      </c>
      <c r="C11">
        <f>'Besoins INRAE'!B43</f>
        <v>108.8121340250915</v>
      </c>
      <c r="D11" s="9">
        <f t="shared" si="0"/>
        <v>27.290338771549543</v>
      </c>
      <c r="E11" t="str">
        <f t="shared" si="1"/>
        <v>DEFICIT</v>
      </c>
    </row>
    <row r="12" spans="1:5" x14ac:dyDescent="0.35">
      <c r="A12" t="s">
        <v>202</v>
      </c>
      <c r="B12">
        <f>'Ration Formulation'!Z35</f>
        <v>37.908000000000001</v>
      </c>
      <c r="C12">
        <f>'Besoins INRAE'!B44</f>
        <v>50.283726646497655</v>
      </c>
      <c r="D12" s="9">
        <f t="shared" si="0"/>
        <v>75.388207136076218</v>
      </c>
      <c r="E12" t="str">
        <f t="shared" si="1"/>
        <v>DEFICIT</v>
      </c>
    </row>
    <row r="13" spans="1:5" x14ac:dyDescent="0.35">
      <c r="A13" t="s">
        <v>203</v>
      </c>
      <c r="B13">
        <f>'[1]Ration Formulation'!AJ35</f>
        <v>0</v>
      </c>
      <c r="E13" t="s">
        <v>204</v>
      </c>
    </row>
    <row r="15" spans="1:5" x14ac:dyDescent="0.35">
      <c r="A15" t="s">
        <v>245</v>
      </c>
      <c r="B15" s="12">
        <f>B11/B12</f>
        <v>0.78334916112693886</v>
      </c>
      <c r="C15" t="str">
        <f>IF(B15&lt;1.5,"Manque Ca",IF(B15&gt;2.5,"Excès Ca","Ok"))</f>
        <v>Manque Ca</v>
      </c>
    </row>
    <row r="16" spans="1:5" x14ac:dyDescent="0.35">
      <c r="A16" t="s">
        <v>205</v>
      </c>
      <c r="B16" s="12">
        <f>IFERROR(B6/B7,"")</f>
        <v>0.80274226365817369</v>
      </c>
      <c r="C16" t="str">
        <f>IF(B16&lt;0.95,"Manque d'azote",IF(B16&gt;1.05,"Excès d'azote","Equilibre"))</f>
        <v>Manque d'azote</v>
      </c>
    </row>
    <row r="17" spans="1:3" x14ac:dyDescent="0.35">
      <c r="A17" t="s">
        <v>243</v>
      </c>
      <c r="B17" s="12">
        <f>IFERROR(B8/B10,"")</f>
        <v>1.1285578961613061</v>
      </c>
      <c r="C17" t="str">
        <f>IF(B17&lt;1.1,"RISQUE ACIDOSE",IF(B17&lt;1.3,"VIGILANCE","OK"))</f>
        <v>VIGILANCE</v>
      </c>
    </row>
    <row r="18" spans="1:3" x14ac:dyDescent="0.35">
      <c r="A18" t="s">
        <v>206</v>
      </c>
      <c r="B18" s="12">
        <f>IFERROR(B12/B4,"")</f>
        <v>2.5770224337185588</v>
      </c>
    </row>
    <row r="19" spans="1:3" x14ac:dyDescent="0.35">
      <c r="A19" t="s">
        <v>207</v>
      </c>
      <c r="B19" s="9">
        <f>MAX(0,100-(ABS(100-D4)+ABS(100-D5)+ABS(100-D6)+ABS(100-D7))*0.25)</f>
        <v>64.816233091727398</v>
      </c>
    </row>
    <row r="22" spans="1:3" ht="17" x14ac:dyDescent="0.4">
      <c r="A22" s="7" t="s">
        <v>208</v>
      </c>
    </row>
    <row r="23" spans="1:3" x14ac:dyDescent="0.35">
      <c r="A23" t="s">
        <v>209</v>
      </c>
      <c r="B23" s="9">
        <f>(B5-SUM('Besoins INRAE'!B30+'Besoins INRAE'!B32+'Besoins INRAE'!B33))/(0.44+0.0055*('Besoins INRAE'!B7-40)+0.0033*('Besoins INRAE'!B8-31))</f>
        <v>17.472719835950929</v>
      </c>
    </row>
    <row r="24" spans="1:3" x14ac:dyDescent="0.35">
      <c r="A24" t="s">
        <v>210</v>
      </c>
      <c r="B24">
        <f>((MIN(B6,B7)-'Besoins INRAE'!B35-'Besoins INRAE'!B37-'Besoins INRAE'!B38)*0.67)/'Besoins INRAE'!B8</f>
        <v>12.630205144432505</v>
      </c>
    </row>
    <row r="25" spans="1:3" x14ac:dyDescent="0.35">
      <c r="A25" t="s">
        <v>211</v>
      </c>
      <c r="B25">
        <f>MIN(B23,B24)</f>
        <v>12.630205144432505</v>
      </c>
    </row>
    <row r="26" spans="1:3" x14ac:dyDescent="0.35">
      <c r="A26" t="s">
        <v>16</v>
      </c>
      <c r="B26">
        <f>'Besoins INRAE'!B13</f>
        <v>26.6</v>
      </c>
    </row>
    <row r="27" spans="1:3" x14ac:dyDescent="0.35">
      <c r="A27" t="s">
        <v>212</v>
      </c>
      <c r="B27">
        <f>IFERROR(B25/B26,"")</f>
        <v>0.47481974227189866</v>
      </c>
    </row>
    <row r="28" spans="1:3" x14ac:dyDescent="0.35">
      <c r="A28" t="s">
        <v>213</v>
      </c>
      <c r="B28">
        <f>IFERROR(B26/B4,"")</f>
        <v>1.8082936777702243</v>
      </c>
    </row>
    <row r="29" spans="1:3" x14ac:dyDescent="0.35">
      <c r="A29" t="s">
        <v>214</v>
      </c>
      <c r="B29">
        <f>IFERROR(B13/B26,"")</f>
        <v>0</v>
      </c>
    </row>
    <row r="30" spans="1:3" x14ac:dyDescent="0.35">
      <c r="A30" t="s">
        <v>215</v>
      </c>
      <c r="B30">
        <f>IFERROR(B5/B25,"")</f>
        <v>1.0819776752417918</v>
      </c>
    </row>
    <row r="31" spans="1:3" x14ac:dyDescent="0.35">
      <c r="A31" t="s">
        <v>216</v>
      </c>
      <c r="B31">
        <f>IFERROR(MIN(B6,B7)/B25,"")</f>
        <v>83.715188146891165</v>
      </c>
    </row>
    <row r="32" spans="1:3" x14ac:dyDescent="0.35">
      <c r="A32" t="s">
        <v>217</v>
      </c>
      <c r="B32" t="str">
        <f>IF(B27&lt;0.95,"RATION LIMITANTE",IF(B27&gt;1.05,"RATION SURDIMENSIONNÉE","RATION COHÉRENTE"))</f>
        <v>RATION LIMITANTE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35"/>
  <sheetViews>
    <sheetView zoomScale="64" workbookViewId="0">
      <selection activeCell="B7" sqref="B7"/>
    </sheetView>
  </sheetViews>
  <sheetFormatPr baseColWidth="10" defaultColWidth="8.7265625" defaultRowHeight="14.5" x14ac:dyDescent="0.35"/>
  <cols>
    <col min="1" max="1" width="24" customWidth="1"/>
    <col min="2" max="2" width="18" customWidth="1"/>
    <col min="3" max="36" width="13" customWidth="1"/>
  </cols>
  <sheetData>
    <row r="1" spans="1:36" x14ac:dyDescent="0.35">
      <c r="A1" s="5" t="s">
        <v>153</v>
      </c>
    </row>
    <row r="3" spans="1:36" x14ac:dyDescent="0.35">
      <c r="A3" s="4" t="s">
        <v>31</v>
      </c>
      <c r="B3" s="4" t="s">
        <v>154</v>
      </c>
      <c r="C3" s="4" t="s">
        <v>155</v>
      </c>
      <c r="D3" s="4" t="s">
        <v>156</v>
      </c>
      <c r="E3" s="4" t="s">
        <v>157</v>
      </c>
      <c r="F3" s="4" t="s">
        <v>158</v>
      </c>
      <c r="G3" s="4" t="s">
        <v>159</v>
      </c>
      <c r="H3" s="4" t="s">
        <v>160</v>
      </c>
      <c r="I3" s="4" t="s">
        <v>161</v>
      </c>
      <c r="J3" s="4" t="s">
        <v>162</v>
      </c>
      <c r="K3" s="4" t="s">
        <v>163</v>
      </c>
      <c r="L3" s="4" t="s">
        <v>164</v>
      </c>
      <c r="M3" s="4" t="s">
        <v>165</v>
      </c>
      <c r="N3" s="4" t="s">
        <v>166</v>
      </c>
      <c r="O3" s="4" t="s">
        <v>167</v>
      </c>
      <c r="P3" s="4" t="s">
        <v>168</v>
      </c>
      <c r="Q3" s="4" t="s">
        <v>169</v>
      </c>
      <c r="R3" s="4" t="s">
        <v>170</v>
      </c>
      <c r="S3" s="4" t="s">
        <v>171</v>
      </c>
      <c r="T3" s="4" t="s">
        <v>172</v>
      </c>
      <c r="U3" s="4" t="s">
        <v>173</v>
      </c>
      <c r="V3" s="4" t="s">
        <v>174</v>
      </c>
      <c r="W3" s="4" t="s">
        <v>175</v>
      </c>
      <c r="X3" s="4" t="s">
        <v>176</v>
      </c>
      <c r="Y3" s="4" t="s">
        <v>177</v>
      </c>
      <c r="Z3" s="4" t="s">
        <v>178</v>
      </c>
      <c r="AA3" s="4" t="s">
        <v>179</v>
      </c>
      <c r="AB3" s="4" t="s">
        <v>180</v>
      </c>
      <c r="AC3" s="4" t="s">
        <v>181</v>
      </c>
      <c r="AD3" s="4" t="s">
        <v>182</v>
      </c>
      <c r="AE3" s="4" t="s">
        <v>183</v>
      </c>
      <c r="AF3" s="4" t="s">
        <v>184</v>
      </c>
      <c r="AG3" s="4" t="s">
        <v>185</v>
      </c>
      <c r="AH3" s="4" t="s">
        <v>186</v>
      </c>
      <c r="AI3" s="4" t="s">
        <v>187</v>
      </c>
      <c r="AJ3" s="4" t="s">
        <v>188</v>
      </c>
    </row>
    <row r="4" spans="1:36" x14ac:dyDescent="0.35">
      <c r="A4" t="s">
        <v>55</v>
      </c>
      <c r="B4">
        <v>10</v>
      </c>
      <c r="C4">
        <f>IFERROR(INDEX('Bibliothèque MP INRA'!$D:$D,MATCH($A4,'Bibliothèque MP INRA'!$C:$C,0)),"")</f>
        <v>88</v>
      </c>
      <c r="D4">
        <f t="shared" ref="D4:D33" si="0">IFERROR($B4*C4/100,"")</f>
        <v>8.8000000000000007</v>
      </c>
      <c r="E4">
        <f>IFERROR(INDEX('Bibliothèque MP INRA'!$E:$E,MATCH($A4,'Bibliothèque MP INRA'!$C:$C,0)),"")</f>
        <v>0.78</v>
      </c>
      <c r="F4">
        <f t="shared" ref="F4:F33" si="1">IFERROR(D4*E4,"")</f>
        <v>6.8640000000000008</v>
      </c>
      <c r="G4">
        <f>IFERROR(INDEX('Bibliothèque MP INRA'!$I:$I,MATCH($A4,'Bibliothèque MP INRA'!$C:$C,0)),"")</f>
        <v>18</v>
      </c>
      <c r="H4">
        <f t="shared" ref="H4:H33" si="2">IFERROR(D4*G4/100,"")</f>
        <v>1.5840000000000001</v>
      </c>
      <c r="I4">
        <f>IFERROR(INDEX('Bibliothèque MP INRA'!$G:$G,MATCH($A4,'Bibliothèque MP INRA'!$C:$C,0)),"")</f>
        <v>120</v>
      </c>
      <c r="J4">
        <f t="shared" ref="J4:J33" si="3">IFERROR(D4*I4,"")</f>
        <v>1056</v>
      </c>
      <c r="K4">
        <f>IFERROR(INDEX('Bibliothèque MP INRA'!$H:$H,MATCH($A4,'Bibliothèque MP INRA'!$C:$C,0)),"")</f>
        <v>95</v>
      </c>
      <c r="L4">
        <f t="shared" ref="L4:L33" si="4">IFERROR(D4*K4,"")</f>
        <v>836.00000000000011</v>
      </c>
      <c r="M4">
        <f>IFERROR(INDEX('Bibliothèque MP INRA'!$J:$J,MATCH($A4,'Bibliothèque MP INRA'!$C:$C,0)),"")</f>
        <v>3</v>
      </c>
      <c r="N4">
        <f t="shared" ref="N4:N33" si="5">IFERROR(D4*M4/100,"")</f>
        <v>0.26400000000000001</v>
      </c>
      <c r="O4">
        <f>IFERROR(INDEX('Bibliothèque MP INRA'!$K:$K,MATCH($A4,'Bibliothèque MP INRA'!$C:$C,0)),"")</f>
        <v>7</v>
      </c>
      <c r="P4">
        <f t="shared" ref="P4:P33" si="6">IFERROR(D4*O4/100,"")</f>
        <v>0.6160000000000001</v>
      </c>
      <c r="Q4">
        <f>IFERROR(INDEX('Bibliothèque MP INRA'!$L:$L,MATCH($A4,'Bibliothèque MP INRA'!$C:$C,0)),"")</f>
        <v>42</v>
      </c>
      <c r="R4">
        <f t="shared" ref="R4:R33" si="7">IFERROR(D4*Q4/100,"")</f>
        <v>3.6960000000000002</v>
      </c>
      <c r="S4">
        <f>IFERROR(INDEX('Bibliothèque MP INRA'!$M:$M,MATCH($A4,'Bibliothèque MP INRA'!$C:$C,0)),"")</f>
        <v>30</v>
      </c>
      <c r="T4">
        <f t="shared" ref="T4:T33" si="8">IFERROR(D4*S4/100,"")</f>
        <v>2.64</v>
      </c>
      <c r="U4">
        <f>IFERROR(INDEX('Bibliothèque MP INRA'!$N:$N,MATCH($A4,'Bibliothèque MP INRA'!$C:$C,0)),"")</f>
        <v>2.5</v>
      </c>
      <c r="V4">
        <f t="shared" ref="V4:V33" si="9">IFERROR(D4*U4/100,"")</f>
        <v>0.22</v>
      </c>
      <c r="W4">
        <f>IFERROR(INDEX('Bibliothèque MP INRA'!$O:$O,MATCH($A4,'Bibliothèque MP INRA'!$C:$C,0)),"")</f>
        <v>1.3</v>
      </c>
      <c r="X4">
        <f t="shared" ref="X4:X33" si="10">IFERROR(D4*W4/100,"")</f>
        <v>0.11440000000000002</v>
      </c>
      <c r="Y4">
        <f>IFERROR(INDEX('Bibliothèque MP INRA'!$P:$P,MATCH($A4,'Bibliothèque MP INRA'!$C:$C,0)),"")</f>
        <v>0.25</v>
      </c>
      <c r="Z4">
        <f t="shared" ref="Z4:Z33" si="11">IFERROR(D4*Y4/100,"")</f>
        <v>2.2000000000000002E-2</v>
      </c>
      <c r="AA4" t="str">
        <f ca="1">IFERROR(XLOOKUP($A4,'Bibliothèque MP INRA'!$C:$C,'Bibliothèque MP INRA'!$N:$N),"")</f>
        <v/>
      </c>
      <c r="AB4" t="str">
        <f t="shared" ref="AB4:AB33" ca="1" si="12">IFERROR(D4*AA4/100,"")</f>
        <v/>
      </c>
      <c r="AC4">
        <f>IFERROR(INDEX('Bibliothèque MP INRA'!$R:$R,MATCH($A4,'Bibliothèque MP INRA'!$C:$C,0)),"")</f>
        <v>0.03</v>
      </c>
      <c r="AD4">
        <f t="shared" ref="AD4:AD33" si="13">IFERROR(D4*AC4/100,"")</f>
        <v>2.64E-3</v>
      </c>
      <c r="AE4">
        <f>IFERROR(INDEX('Bibliothèque MP INRA'!$Q:$Q,MATCH($A4,'Bibliothèque MP INRA'!$C:$C,0)),"")</f>
        <v>2</v>
      </c>
      <c r="AF4">
        <f t="shared" ref="AF4:AF33" si="14">IFERROR(D4*AE4/100,"")</f>
        <v>0.17600000000000002</v>
      </c>
      <c r="AG4" t="str">
        <f ca="1">IFERROR(XLOOKUP($A4,'Bibliothèque MP INRA'!$C:$C,'Bibliothèque MP INRA'!$B:$B),"")</f>
        <v/>
      </c>
      <c r="AH4" t="str">
        <f t="shared" ref="AH4:AH33" ca="1" si="15">IFERROR(D4*AG4/100,"")</f>
        <v/>
      </c>
      <c r="AI4">
        <f>IFERROR(INDEX('Bibliothèque MP INRA'!$S:$S,MATCH($A4,'Bibliothèque MP INRA'!$C:$C,0)),"")</f>
        <v>0</v>
      </c>
      <c r="AJ4">
        <f t="shared" ref="AJ4:AJ33" si="16">IFERROR($B4*AI4/1000,"")</f>
        <v>0</v>
      </c>
    </row>
    <row r="5" spans="1:36" x14ac:dyDescent="0.35">
      <c r="A5" t="s">
        <v>141</v>
      </c>
      <c r="B5">
        <v>5</v>
      </c>
      <c r="C5">
        <f>IFERROR(INDEX('Bibliothèque MP INRA'!$D:$D,MATCH($A5,'Bibliothèque MP INRA'!$C:$C,0)),"")</f>
        <v>35</v>
      </c>
      <c r="D5">
        <f t="shared" si="0"/>
        <v>1.75</v>
      </c>
      <c r="E5">
        <f>IFERROR(INDEX('Bibliothèque MP INRA'!$E:$E,MATCH($A5,'Bibliothèque MP INRA'!$C:$C,0)),"")</f>
        <v>0.45</v>
      </c>
      <c r="F5">
        <f t="shared" si="1"/>
        <v>0.78749999999999998</v>
      </c>
      <c r="G5">
        <f>IFERROR(INDEX('Bibliothèque MP INRA'!$I:$I,MATCH($A5,'Bibliothèque MP INRA'!$C:$C,0)),"")</f>
        <v>13</v>
      </c>
      <c r="H5">
        <f t="shared" si="2"/>
        <v>0.22750000000000001</v>
      </c>
      <c r="I5">
        <f>IFERROR(INDEX('Bibliothèque MP INRA'!$G:$G,MATCH($A5,'Bibliothèque MP INRA'!$C:$C,0)),"")</f>
        <v>80</v>
      </c>
      <c r="J5">
        <f t="shared" si="3"/>
        <v>140</v>
      </c>
      <c r="K5">
        <f>IFERROR(INDEX('Bibliothèque MP INRA'!$H:$H,MATCH($A5,'Bibliothèque MP INRA'!$C:$C,0)),"")</f>
        <v>77</v>
      </c>
      <c r="L5">
        <f t="shared" si="4"/>
        <v>134.75</v>
      </c>
      <c r="M5">
        <f>IFERROR(INDEX('Bibliothèque MP INRA'!$J:$J,MATCH($A5,'Bibliothèque MP INRA'!$C:$C,0)),"")</f>
        <v>2</v>
      </c>
      <c r="N5">
        <f t="shared" si="5"/>
        <v>3.5000000000000003E-2</v>
      </c>
      <c r="O5">
        <f>IFERROR(INDEX('Bibliothèque MP INRA'!$K:$K,MATCH($A5,'Bibliothèque MP INRA'!$C:$C,0)),"")</f>
        <v>5</v>
      </c>
      <c r="P5">
        <f t="shared" si="6"/>
        <v>8.7499999999999994E-2</v>
      </c>
      <c r="Q5">
        <f>IFERROR(INDEX('Bibliothèque MP INRA'!$L:$L,MATCH($A5,'Bibliothèque MP INRA'!$C:$C,0)),"")</f>
        <v>38</v>
      </c>
      <c r="R5">
        <f t="shared" si="7"/>
        <v>0.66500000000000004</v>
      </c>
      <c r="S5">
        <f>IFERROR(INDEX('Bibliothèque MP INRA'!$M:$M,MATCH($A5,'Bibliothèque MP INRA'!$C:$C,0)),"")</f>
        <v>26</v>
      </c>
      <c r="T5">
        <f t="shared" si="8"/>
        <v>0.45500000000000002</v>
      </c>
      <c r="U5">
        <f>IFERROR(INDEX('Bibliothèque MP INRA'!$N:$N,MATCH($A5,'Bibliothèque MP INRA'!$C:$C,0)),"")</f>
        <v>2</v>
      </c>
      <c r="V5">
        <f t="shared" si="9"/>
        <v>3.5000000000000003E-2</v>
      </c>
      <c r="W5">
        <f>IFERROR(INDEX('Bibliothèque MP INRA'!$O:$O,MATCH($A5,'Bibliothèque MP INRA'!$C:$C,0)),"")</f>
        <v>0.3</v>
      </c>
      <c r="X5">
        <f t="shared" si="10"/>
        <v>5.2500000000000003E-3</v>
      </c>
      <c r="Y5">
        <f>IFERROR(INDEX('Bibliothèque MP INRA'!$P:$P,MATCH($A5,'Bibliothèque MP INRA'!$C:$C,0)),"")</f>
        <v>0.2</v>
      </c>
      <c r="Z5">
        <f t="shared" si="11"/>
        <v>3.5000000000000005E-3</v>
      </c>
      <c r="AA5" t="str">
        <f ca="1">IFERROR(XLOOKUP($A5,'Bibliothèque MP INRA'!$C:$C,'Bibliothèque MP INRA'!$N:$N),"")</f>
        <v/>
      </c>
      <c r="AB5" t="str">
        <f t="shared" ca="1" si="12"/>
        <v/>
      </c>
      <c r="AC5">
        <f>IFERROR(INDEX('Bibliothèque MP INRA'!$R:$R,MATCH($A5,'Bibliothèque MP INRA'!$C:$C,0)),"")</f>
        <v>0.03</v>
      </c>
      <c r="AD5">
        <f t="shared" si="13"/>
        <v>5.2499999999999997E-4</v>
      </c>
      <c r="AE5">
        <f>IFERROR(INDEX('Bibliothèque MP INRA'!$Q:$Q,MATCH($A5,'Bibliothèque MP INRA'!$C:$C,0)),"")</f>
        <v>1</v>
      </c>
      <c r="AF5">
        <f t="shared" si="14"/>
        <v>1.7500000000000002E-2</v>
      </c>
      <c r="AG5" t="str">
        <f ca="1">IFERROR(XLOOKUP($A5,'Bibliothèque MP INRA'!$C:$C,'Bibliothèque MP INRA'!$B:$B),"")</f>
        <v/>
      </c>
      <c r="AH5" t="str">
        <f t="shared" ca="1" si="15"/>
        <v/>
      </c>
      <c r="AI5">
        <f>IFERROR(INDEX('Bibliothèque MP INRA'!$S:$S,MATCH($A5,'Bibliothèque MP INRA'!$C:$C,0)),"")</f>
        <v>0</v>
      </c>
      <c r="AJ5">
        <f t="shared" si="16"/>
        <v>0</v>
      </c>
    </row>
    <row r="6" spans="1:36" x14ac:dyDescent="0.35">
      <c r="A6" t="s">
        <v>48</v>
      </c>
      <c r="B6">
        <v>4</v>
      </c>
      <c r="C6">
        <f>IFERROR(INDEX('Bibliothèque MP INRA'!$D:$D,MATCH($A6,'Bibliothèque MP INRA'!$C:$C,0)),"")</f>
        <v>33</v>
      </c>
      <c r="D6">
        <f t="shared" si="0"/>
        <v>1.32</v>
      </c>
      <c r="E6">
        <f>IFERROR(INDEX('Bibliothèque MP INRA'!$E:$E,MATCH($A6,'Bibliothèque MP INRA'!$C:$C,0)),"")</f>
        <v>0.92</v>
      </c>
      <c r="F6">
        <f t="shared" si="1"/>
        <v>1.2144000000000001</v>
      </c>
      <c r="G6">
        <f>IFERROR(INDEX('Bibliothèque MP INRA'!$I:$I,MATCH($A6,'Bibliothèque MP INRA'!$C:$C,0)),"")</f>
        <v>8</v>
      </c>
      <c r="H6">
        <f t="shared" si="2"/>
        <v>0.1056</v>
      </c>
      <c r="I6">
        <f>IFERROR(INDEX('Bibliothèque MP INRA'!$G:$G,MATCH($A6,'Bibliothèque MP INRA'!$C:$C,0)),"")</f>
        <v>62</v>
      </c>
      <c r="J6">
        <f t="shared" si="3"/>
        <v>81.84</v>
      </c>
      <c r="K6">
        <f>IFERROR(INDEX('Bibliothèque MP INRA'!$H:$H,MATCH($A6,'Bibliothèque MP INRA'!$C:$C,0)),"")</f>
        <v>90</v>
      </c>
      <c r="L6">
        <f t="shared" si="4"/>
        <v>118.80000000000001</v>
      </c>
      <c r="M6">
        <f>IFERROR(INDEX('Bibliothèque MP INRA'!$J:$J,MATCH($A6,'Bibliothèque MP INRA'!$C:$C,0)),"")</f>
        <v>32</v>
      </c>
      <c r="N6">
        <f t="shared" si="5"/>
        <v>0.4224</v>
      </c>
      <c r="O6">
        <f>IFERROR(INDEX('Bibliothèque MP INRA'!$K:$K,MATCH($A6,'Bibliothèque MP INRA'!$C:$C,0)),"")</f>
        <v>3</v>
      </c>
      <c r="P6">
        <f t="shared" si="6"/>
        <v>3.9599999999999996E-2</v>
      </c>
      <c r="Q6">
        <f>IFERROR(INDEX('Bibliothèque MP INRA'!$L:$L,MATCH($A6,'Bibliothèque MP INRA'!$C:$C,0)),"")</f>
        <v>42</v>
      </c>
      <c r="R6">
        <f t="shared" si="7"/>
        <v>0.5544</v>
      </c>
      <c r="S6">
        <f>IFERROR(INDEX('Bibliothèque MP INRA'!$M:$M,MATCH($A6,'Bibliothèque MP INRA'!$C:$C,0)),"")</f>
        <v>24</v>
      </c>
      <c r="T6">
        <f t="shared" si="8"/>
        <v>0.31679999999999997</v>
      </c>
      <c r="U6">
        <f>IFERROR(INDEX('Bibliothèque MP INRA'!$N:$N,MATCH($A6,'Bibliothèque MP INRA'!$C:$C,0)),"")</f>
        <v>3</v>
      </c>
      <c r="V6">
        <f t="shared" si="9"/>
        <v>3.9599999999999996E-2</v>
      </c>
      <c r="W6">
        <f>IFERROR(INDEX('Bibliothèque MP INRA'!$O:$O,MATCH($A6,'Bibliothèque MP INRA'!$C:$C,0)),"")</f>
        <v>0.25</v>
      </c>
      <c r="X6">
        <f t="shared" si="10"/>
        <v>3.3E-3</v>
      </c>
      <c r="Y6">
        <f>IFERROR(INDEX('Bibliothèque MP INRA'!$P:$P,MATCH($A6,'Bibliothèque MP INRA'!$C:$C,0)),"")</f>
        <v>0.22</v>
      </c>
      <c r="Z6">
        <f t="shared" si="11"/>
        <v>2.9039999999999999E-3</v>
      </c>
      <c r="AA6" t="str">
        <f ca="1">IFERROR(XLOOKUP($A6,'Bibliothèque MP INRA'!$C:$C,'Bibliothèque MP INRA'!$N:$N),"")</f>
        <v/>
      </c>
      <c r="AB6" t="str">
        <f t="shared" ca="1" si="12"/>
        <v/>
      </c>
      <c r="AC6">
        <f>IFERROR(INDEX('Bibliothèque MP INRA'!$R:$R,MATCH($A6,'Bibliothèque MP INRA'!$C:$C,0)),"")</f>
        <v>0.02</v>
      </c>
      <c r="AD6">
        <f t="shared" si="13"/>
        <v>2.6400000000000002E-4</v>
      </c>
      <c r="AE6">
        <f>IFERROR(INDEX('Bibliothèque MP INRA'!$Q:$Q,MATCH($A6,'Bibliothèque MP INRA'!$C:$C,0)),"")</f>
        <v>1.1000000000000001</v>
      </c>
      <c r="AF6">
        <f t="shared" si="14"/>
        <v>1.4520000000000002E-2</v>
      </c>
      <c r="AG6" t="str">
        <f ca="1">IFERROR(XLOOKUP($A6,'Bibliothèque MP INRA'!$C:$C,'Bibliothèque MP INRA'!$B:$B),"")</f>
        <v/>
      </c>
      <c r="AH6" t="str">
        <f t="shared" ca="1" si="15"/>
        <v/>
      </c>
      <c r="AI6">
        <f>IFERROR(INDEX('Bibliothèque MP INRA'!$S:$S,MATCH($A6,'Bibliothèque MP INRA'!$C:$C,0)),"")</f>
        <v>0</v>
      </c>
      <c r="AJ6">
        <f t="shared" si="16"/>
        <v>0</v>
      </c>
    </row>
    <row r="7" spans="1:36" x14ac:dyDescent="0.35">
      <c r="C7" t="str">
        <f>IFERROR(INDEX('Bibliothèque MP INRA'!$D:$D,MATCH($A7,'Bibliothèque MP INRA'!$C:$C,0)),"")</f>
        <v/>
      </c>
      <c r="D7" t="str">
        <f t="shared" si="0"/>
        <v/>
      </c>
      <c r="E7" t="str">
        <f>IFERROR(INDEX('Bibliothèque MP INRA'!$E:$E,MATCH($A7,'Bibliothèque MP INRA'!$C:$C,0)),"")</f>
        <v/>
      </c>
      <c r="F7" t="str">
        <f t="shared" si="1"/>
        <v/>
      </c>
      <c r="G7" t="str">
        <f>IFERROR(INDEX('Bibliothèque MP INRA'!$I:$I,MATCH($A7,'Bibliothèque MP INRA'!$C:$C,0)),"")</f>
        <v/>
      </c>
      <c r="H7" t="str">
        <f t="shared" si="2"/>
        <v/>
      </c>
      <c r="I7" t="str">
        <f>IFERROR(INDEX('Bibliothèque MP INRA'!$G:$G,MATCH($A7,'Bibliothèque MP INRA'!$C:$C,0)),"")</f>
        <v/>
      </c>
      <c r="J7" t="str">
        <f t="shared" si="3"/>
        <v/>
      </c>
      <c r="K7" t="str">
        <f>IFERROR(INDEX('Bibliothèque MP INRA'!$H:$H,MATCH($A7,'Bibliothèque MP INRA'!$C:$C,0)),"")</f>
        <v/>
      </c>
      <c r="L7" t="str">
        <f t="shared" si="4"/>
        <v/>
      </c>
      <c r="M7" t="str">
        <f>IFERROR(INDEX('Bibliothèque MP INRA'!$J:$J,MATCH($A7,'Bibliothèque MP INRA'!$C:$C,0)),"")</f>
        <v/>
      </c>
      <c r="N7" t="str">
        <f t="shared" si="5"/>
        <v/>
      </c>
      <c r="O7" t="str">
        <f>IFERROR(INDEX('Bibliothèque MP INRA'!$K:$K,MATCH($A7,'Bibliothèque MP INRA'!$C:$C,0)),"")</f>
        <v/>
      </c>
      <c r="P7" t="str">
        <f t="shared" si="6"/>
        <v/>
      </c>
      <c r="Q7" t="str">
        <f>IFERROR(INDEX('Bibliothèque MP INRA'!$L:$L,MATCH($A7,'Bibliothèque MP INRA'!$C:$C,0)),"")</f>
        <v/>
      </c>
      <c r="R7" t="str">
        <f t="shared" si="7"/>
        <v/>
      </c>
      <c r="S7" t="str">
        <f>IFERROR(INDEX('Bibliothèque MP INRA'!$M:$M,MATCH($A7,'Bibliothèque MP INRA'!$C:$C,0)),"")</f>
        <v/>
      </c>
      <c r="T7" t="str">
        <f t="shared" si="8"/>
        <v/>
      </c>
      <c r="U7" t="str">
        <f>IFERROR(INDEX('Bibliothèque MP INRA'!$N:$N,MATCH($A7,'Bibliothèque MP INRA'!$C:$C,0)),"")</f>
        <v/>
      </c>
      <c r="V7" t="str">
        <f t="shared" si="9"/>
        <v/>
      </c>
      <c r="W7" t="str">
        <f>IFERROR(INDEX('Bibliothèque MP INRA'!$O:$O,MATCH($A7,'Bibliothèque MP INRA'!$C:$C,0)),"")</f>
        <v/>
      </c>
      <c r="X7" t="str">
        <f t="shared" si="10"/>
        <v/>
      </c>
      <c r="Y7" t="str">
        <f>IFERROR(INDEX('Bibliothèque MP INRA'!$P:$P,MATCH($A7,'Bibliothèque MP INRA'!$C:$C,0)),"")</f>
        <v/>
      </c>
      <c r="Z7" t="str">
        <f t="shared" si="11"/>
        <v/>
      </c>
      <c r="AA7" t="str">
        <f ca="1">IFERROR(XLOOKUP($A7,'Bibliothèque MP INRA'!$C:$C,'Bibliothèque MP INRA'!$N:$N),"")</f>
        <v/>
      </c>
      <c r="AB7" t="str">
        <f t="shared" ca="1" si="12"/>
        <v/>
      </c>
      <c r="AC7" t="str">
        <f>IFERROR(INDEX('Bibliothèque MP INRA'!$R:$R,MATCH($A7,'Bibliothèque MP INRA'!$C:$C,0)),"")</f>
        <v/>
      </c>
      <c r="AD7" t="str">
        <f t="shared" si="13"/>
        <v/>
      </c>
      <c r="AE7" t="str">
        <f>IFERROR(INDEX('Bibliothèque MP INRA'!$Q:$Q,MATCH($A7,'Bibliothèque MP INRA'!$C:$C,0)),"")</f>
        <v/>
      </c>
      <c r="AF7" t="str">
        <f t="shared" si="14"/>
        <v/>
      </c>
      <c r="AG7" t="str">
        <f ca="1">IFERROR(XLOOKUP($A7,'Bibliothèque MP INRA'!$C:$C,'Bibliothèque MP INRA'!$B:$B),"")</f>
        <v/>
      </c>
      <c r="AH7" t="str">
        <f t="shared" ca="1" si="15"/>
        <v/>
      </c>
      <c r="AI7" t="str">
        <f>IFERROR(INDEX('Bibliothèque MP INRA'!$S:$S,MATCH($A7,'Bibliothèque MP INRA'!$C:$C,0)),"")</f>
        <v/>
      </c>
      <c r="AJ7" t="str">
        <f t="shared" si="16"/>
        <v/>
      </c>
    </row>
    <row r="8" spans="1:36" x14ac:dyDescent="0.35">
      <c r="C8" t="str">
        <f>IFERROR(INDEX('Bibliothèque MP INRA'!$D:$D,MATCH($A8,'Bibliothèque MP INRA'!$C:$C,0)),"")</f>
        <v/>
      </c>
      <c r="D8" t="str">
        <f t="shared" si="0"/>
        <v/>
      </c>
      <c r="E8" t="str">
        <f>IFERROR(INDEX('Bibliothèque MP INRA'!$E:$E,MATCH($A8,'Bibliothèque MP INRA'!$C:$C,0)),"")</f>
        <v/>
      </c>
      <c r="F8" t="str">
        <f t="shared" si="1"/>
        <v/>
      </c>
      <c r="G8" t="str">
        <f>IFERROR(INDEX('Bibliothèque MP INRA'!$I:$I,MATCH($A8,'Bibliothèque MP INRA'!$C:$C,0)),"")</f>
        <v/>
      </c>
      <c r="H8" t="str">
        <f t="shared" si="2"/>
        <v/>
      </c>
      <c r="I8" t="str">
        <f>IFERROR(INDEX('Bibliothèque MP INRA'!$G:$G,MATCH($A8,'Bibliothèque MP INRA'!$C:$C,0)),"")</f>
        <v/>
      </c>
      <c r="J8" t="str">
        <f t="shared" si="3"/>
        <v/>
      </c>
      <c r="K8" t="str">
        <f>IFERROR(INDEX('Bibliothèque MP INRA'!$H:$H,MATCH($A8,'Bibliothèque MP INRA'!$C:$C,0)),"")</f>
        <v/>
      </c>
      <c r="L8" t="str">
        <f t="shared" si="4"/>
        <v/>
      </c>
      <c r="M8" t="str">
        <f>IFERROR(INDEX('Bibliothèque MP INRA'!$J:$J,MATCH($A8,'Bibliothèque MP INRA'!$C:$C,0)),"")</f>
        <v/>
      </c>
      <c r="N8" t="str">
        <f t="shared" si="5"/>
        <v/>
      </c>
      <c r="O8" t="str">
        <f>IFERROR(INDEX('Bibliothèque MP INRA'!$K:$K,MATCH($A8,'Bibliothèque MP INRA'!$C:$C,0)),"")</f>
        <v/>
      </c>
      <c r="P8" t="str">
        <f t="shared" si="6"/>
        <v/>
      </c>
      <c r="Q8" t="str">
        <f>IFERROR(INDEX('Bibliothèque MP INRA'!$L:$L,MATCH($A8,'Bibliothèque MP INRA'!$C:$C,0)),"")</f>
        <v/>
      </c>
      <c r="R8" t="str">
        <f t="shared" si="7"/>
        <v/>
      </c>
      <c r="S8" t="str">
        <f>IFERROR(INDEX('Bibliothèque MP INRA'!$M:$M,MATCH($A8,'Bibliothèque MP INRA'!$C:$C,0)),"")</f>
        <v/>
      </c>
      <c r="T8" t="str">
        <f t="shared" si="8"/>
        <v/>
      </c>
      <c r="U8" t="str">
        <f>IFERROR(INDEX('Bibliothèque MP INRA'!$N:$N,MATCH($A8,'Bibliothèque MP INRA'!$C:$C,0)),"")</f>
        <v/>
      </c>
      <c r="V8" t="str">
        <f t="shared" si="9"/>
        <v/>
      </c>
      <c r="W8" t="str">
        <f>IFERROR(INDEX('Bibliothèque MP INRA'!$O:$O,MATCH($A8,'Bibliothèque MP INRA'!$C:$C,0)),"")</f>
        <v/>
      </c>
      <c r="X8" t="str">
        <f t="shared" si="10"/>
        <v/>
      </c>
      <c r="Y8" t="str">
        <f>IFERROR(INDEX('Bibliothèque MP INRA'!$P:$P,MATCH($A8,'Bibliothèque MP INRA'!$C:$C,0)),"")</f>
        <v/>
      </c>
      <c r="Z8" t="str">
        <f t="shared" si="11"/>
        <v/>
      </c>
      <c r="AA8" t="str">
        <f ca="1">IFERROR(XLOOKUP($A8,'Bibliothèque MP INRA'!$C:$C,'Bibliothèque MP INRA'!$N:$N),"")</f>
        <v/>
      </c>
      <c r="AB8" t="str">
        <f t="shared" ca="1" si="12"/>
        <v/>
      </c>
      <c r="AC8" t="str">
        <f>IFERROR(INDEX('Bibliothèque MP INRA'!$R:$R,MATCH($A8,'Bibliothèque MP INRA'!$C:$C,0)),"")</f>
        <v/>
      </c>
      <c r="AD8" t="str">
        <f t="shared" si="13"/>
        <v/>
      </c>
      <c r="AE8" t="str">
        <f>IFERROR(INDEX('Bibliothèque MP INRA'!$Q:$Q,MATCH($A8,'Bibliothèque MP INRA'!$C:$C,0)),"")</f>
        <v/>
      </c>
      <c r="AF8" t="str">
        <f t="shared" si="14"/>
        <v/>
      </c>
      <c r="AG8" t="str">
        <f ca="1">IFERROR(XLOOKUP($A8,'Bibliothèque MP INRA'!$C:$C,'Bibliothèque MP INRA'!$B:$B),"")</f>
        <v/>
      </c>
      <c r="AH8" t="str">
        <f t="shared" ca="1" si="15"/>
        <v/>
      </c>
      <c r="AI8" t="str">
        <f>IFERROR(INDEX('Bibliothèque MP INRA'!$S:$S,MATCH($A8,'Bibliothèque MP INRA'!$C:$C,0)),"")</f>
        <v/>
      </c>
      <c r="AJ8" t="str">
        <f t="shared" si="16"/>
        <v/>
      </c>
    </row>
    <row r="9" spans="1:36" x14ac:dyDescent="0.35">
      <c r="C9" t="str">
        <f>IFERROR(INDEX('Bibliothèque MP INRA'!$D:$D,MATCH($A9,'Bibliothèque MP INRA'!$C:$C,0)),"")</f>
        <v/>
      </c>
      <c r="D9" t="str">
        <f t="shared" si="0"/>
        <v/>
      </c>
      <c r="E9" t="str">
        <f>IFERROR(INDEX('Bibliothèque MP INRA'!$E:$E,MATCH($A9,'Bibliothèque MP INRA'!$C:$C,0)),"")</f>
        <v/>
      </c>
      <c r="F9" t="str">
        <f t="shared" si="1"/>
        <v/>
      </c>
      <c r="G9" t="str">
        <f>IFERROR(INDEX('Bibliothèque MP INRA'!$I:$I,MATCH($A9,'Bibliothèque MP INRA'!$C:$C,0)),"")</f>
        <v/>
      </c>
      <c r="H9" t="str">
        <f t="shared" si="2"/>
        <v/>
      </c>
      <c r="I9" t="str">
        <f>IFERROR(INDEX('Bibliothèque MP INRA'!$G:$G,MATCH($A9,'Bibliothèque MP INRA'!$C:$C,0)),"")</f>
        <v/>
      </c>
      <c r="J9" t="str">
        <f t="shared" si="3"/>
        <v/>
      </c>
      <c r="K9" t="str">
        <f>IFERROR(INDEX('Bibliothèque MP INRA'!$H:$H,MATCH($A9,'Bibliothèque MP INRA'!$C:$C,0)),"")</f>
        <v/>
      </c>
      <c r="L9" t="str">
        <f t="shared" si="4"/>
        <v/>
      </c>
      <c r="M9" t="str">
        <f>IFERROR(INDEX('Bibliothèque MP INRA'!$J:$J,MATCH($A9,'Bibliothèque MP INRA'!$C:$C,0)),"")</f>
        <v/>
      </c>
      <c r="N9" t="str">
        <f t="shared" si="5"/>
        <v/>
      </c>
      <c r="O9" t="str">
        <f>IFERROR(INDEX('Bibliothèque MP INRA'!$K:$K,MATCH($A9,'Bibliothèque MP INRA'!$C:$C,0)),"")</f>
        <v/>
      </c>
      <c r="P9" t="str">
        <f t="shared" si="6"/>
        <v/>
      </c>
      <c r="Q9" t="str">
        <f>IFERROR(INDEX('Bibliothèque MP INRA'!$L:$L,MATCH($A9,'Bibliothèque MP INRA'!$C:$C,0)),"")</f>
        <v/>
      </c>
      <c r="R9" t="str">
        <f t="shared" si="7"/>
        <v/>
      </c>
      <c r="S9" t="str">
        <f>IFERROR(INDEX('Bibliothèque MP INRA'!$M:$M,MATCH($A9,'Bibliothèque MP INRA'!$C:$C,0)),"")</f>
        <v/>
      </c>
      <c r="T9" t="str">
        <f t="shared" si="8"/>
        <v/>
      </c>
      <c r="U9" t="str">
        <f>IFERROR(INDEX('Bibliothèque MP INRA'!$N:$N,MATCH($A9,'Bibliothèque MP INRA'!$C:$C,0)),"")</f>
        <v/>
      </c>
      <c r="V9" t="str">
        <f t="shared" si="9"/>
        <v/>
      </c>
      <c r="W9" t="str">
        <f>IFERROR(INDEX('Bibliothèque MP INRA'!$O:$O,MATCH($A9,'Bibliothèque MP INRA'!$C:$C,0)),"")</f>
        <v/>
      </c>
      <c r="X9" t="str">
        <f t="shared" si="10"/>
        <v/>
      </c>
      <c r="Y9" t="str">
        <f>IFERROR(INDEX('Bibliothèque MP INRA'!$P:$P,MATCH($A9,'Bibliothèque MP INRA'!$C:$C,0)),"")</f>
        <v/>
      </c>
      <c r="Z9" t="str">
        <f t="shared" si="11"/>
        <v/>
      </c>
      <c r="AA9" t="str">
        <f ca="1">IFERROR(XLOOKUP($A9,'Bibliothèque MP INRA'!$C:$C,'Bibliothèque MP INRA'!$N:$N),"")</f>
        <v/>
      </c>
      <c r="AB9" t="str">
        <f t="shared" ca="1" si="12"/>
        <v/>
      </c>
      <c r="AC9" t="str">
        <f>IFERROR(INDEX('Bibliothèque MP INRA'!$R:$R,MATCH($A9,'Bibliothèque MP INRA'!$C:$C,0)),"")</f>
        <v/>
      </c>
      <c r="AD9" t="str">
        <f t="shared" si="13"/>
        <v/>
      </c>
      <c r="AE9" t="str">
        <f>IFERROR(INDEX('Bibliothèque MP INRA'!$Q:$Q,MATCH($A9,'Bibliothèque MP INRA'!$C:$C,0)),"")</f>
        <v/>
      </c>
      <c r="AF9" t="str">
        <f t="shared" si="14"/>
        <v/>
      </c>
      <c r="AG9" t="str">
        <f ca="1">IFERROR(XLOOKUP($A9,'Bibliothèque MP INRA'!$C:$C,'Bibliothèque MP INRA'!$B:$B),"")</f>
        <v/>
      </c>
      <c r="AH9" t="str">
        <f t="shared" ca="1" si="15"/>
        <v/>
      </c>
      <c r="AI9" t="str">
        <f>IFERROR(INDEX('Bibliothèque MP INRA'!$S:$S,MATCH($A9,'Bibliothèque MP INRA'!$C:$C,0)),"")</f>
        <v/>
      </c>
      <c r="AJ9" t="str">
        <f t="shared" si="16"/>
        <v/>
      </c>
    </row>
    <row r="10" spans="1:36" x14ac:dyDescent="0.35">
      <c r="C10" t="str">
        <f>IFERROR(INDEX('Bibliothèque MP INRA'!$D:$D,MATCH($A10,'Bibliothèque MP INRA'!$C:$C,0)),"")</f>
        <v/>
      </c>
      <c r="D10" t="str">
        <f t="shared" si="0"/>
        <v/>
      </c>
      <c r="E10" t="str">
        <f>IFERROR(INDEX('Bibliothèque MP INRA'!$E:$E,MATCH($A10,'Bibliothèque MP INRA'!$C:$C,0)),"")</f>
        <v/>
      </c>
      <c r="F10" t="str">
        <f t="shared" si="1"/>
        <v/>
      </c>
      <c r="G10" t="str">
        <f>IFERROR(INDEX('Bibliothèque MP INRA'!$I:$I,MATCH($A10,'Bibliothèque MP INRA'!$C:$C,0)),"")</f>
        <v/>
      </c>
      <c r="H10" t="str">
        <f t="shared" si="2"/>
        <v/>
      </c>
      <c r="I10" t="str">
        <f>IFERROR(INDEX('Bibliothèque MP INRA'!$G:$G,MATCH($A10,'Bibliothèque MP INRA'!$C:$C,0)),"")</f>
        <v/>
      </c>
      <c r="J10" t="str">
        <f t="shared" si="3"/>
        <v/>
      </c>
      <c r="K10" t="str">
        <f>IFERROR(INDEX('Bibliothèque MP INRA'!$H:$H,MATCH($A10,'Bibliothèque MP INRA'!$C:$C,0)),"")</f>
        <v/>
      </c>
      <c r="L10" t="str">
        <f t="shared" si="4"/>
        <v/>
      </c>
      <c r="M10" t="str">
        <f>IFERROR(INDEX('Bibliothèque MP INRA'!$J:$J,MATCH($A10,'Bibliothèque MP INRA'!$C:$C,0)),"")</f>
        <v/>
      </c>
      <c r="N10" t="str">
        <f t="shared" si="5"/>
        <v/>
      </c>
      <c r="O10" t="str">
        <f>IFERROR(INDEX('Bibliothèque MP INRA'!$K:$K,MATCH($A10,'Bibliothèque MP INRA'!$C:$C,0)),"")</f>
        <v/>
      </c>
      <c r="P10" t="str">
        <f t="shared" si="6"/>
        <v/>
      </c>
      <c r="Q10" t="str">
        <f>IFERROR(INDEX('Bibliothèque MP INRA'!$L:$L,MATCH($A10,'Bibliothèque MP INRA'!$C:$C,0)),"")</f>
        <v/>
      </c>
      <c r="R10" t="str">
        <f t="shared" si="7"/>
        <v/>
      </c>
      <c r="S10" t="str">
        <f>IFERROR(INDEX('Bibliothèque MP INRA'!$M:$M,MATCH($A10,'Bibliothèque MP INRA'!$C:$C,0)),"")</f>
        <v/>
      </c>
      <c r="T10" t="str">
        <f t="shared" si="8"/>
        <v/>
      </c>
      <c r="U10" t="str">
        <f>IFERROR(INDEX('Bibliothèque MP INRA'!$N:$N,MATCH($A10,'Bibliothèque MP INRA'!$C:$C,0)),"")</f>
        <v/>
      </c>
      <c r="V10" t="str">
        <f t="shared" si="9"/>
        <v/>
      </c>
      <c r="W10" t="str">
        <f>IFERROR(INDEX('Bibliothèque MP INRA'!$O:$O,MATCH($A10,'Bibliothèque MP INRA'!$C:$C,0)),"")</f>
        <v/>
      </c>
      <c r="X10" t="str">
        <f t="shared" si="10"/>
        <v/>
      </c>
      <c r="Y10" t="str">
        <f>IFERROR(INDEX('Bibliothèque MP INRA'!$P:$P,MATCH($A10,'Bibliothèque MP INRA'!$C:$C,0)),"")</f>
        <v/>
      </c>
      <c r="Z10" t="str">
        <f t="shared" si="11"/>
        <v/>
      </c>
      <c r="AA10" t="str">
        <f ca="1">IFERROR(XLOOKUP($A10,'Bibliothèque MP INRA'!$C:$C,'Bibliothèque MP INRA'!$N:$N),"")</f>
        <v/>
      </c>
      <c r="AB10" t="str">
        <f t="shared" ca="1" si="12"/>
        <v/>
      </c>
      <c r="AC10" t="str">
        <f>IFERROR(INDEX('Bibliothèque MP INRA'!$R:$R,MATCH($A10,'Bibliothèque MP INRA'!$C:$C,0)),"")</f>
        <v/>
      </c>
      <c r="AD10" t="str">
        <f t="shared" si="13"/>
        <v/>
      </c>
      <c r="AE10" t="str">
        <f>IFERROR(INDEX('Bibliothèque MP INRA'!$Q:$Q,MATCH($A10,'Bibliothèque MP INRA'!$C:$C,0)),"")</f>
        <v/>
      </c>
      <c r="AF10" t="str">
        <f t="shared" si="14"/>
        <v/>
      </c>
      <c r="AG10" t="str">
        <f ca="1">IFERROR(XLOOKUP($A10,'Bibliothèque MP INRA'!$C:$C,'Bibliothèque MP INRA'!$B:$B),"")</f>
        <v/>
      </c>
      <c r="AH10" t="str">
        <f t="shared" ca="1" si="15"/>
        <v/>
      </c>
      <c r="AI10" t="str">
        <f>IFERROR(INDEX('Bibliothèque MP INRA'!$S:$S,MATCH($A10,'Bibliothèque MP INRA'!$C:$C,0)),"")</f>
        <v/>
      </c>
      <c r="AJ10" t="str">
        <f t="shared" si="16"/>
        <v/>
      </c>
    </row>
    <row r="11" spans="1:36" x14ac:dyDescent="0.35">
      <c r="C11" t="str">
        <f>IFERROR(INDEX('Bibliothèque MP INRA'!$D:$D,MATCH($A11,'Bibliothèque MP INRA'!$C:$C,0)),"")</f>
        <v/>
      </c>
      <c r="D11" t="str">
        <f t="shared" si="0"/>
        <v/>
      </c>
      <c r="E11" t="str">
        <f>IFERROR(INDEX('Bibliothèque MP INRA'!$E:$E,MATCH($A11,'Bibliothèque MP INRA'!$C:$C,0)),"")</f>
        <v/>
      </c>
      <c r="F11" t="str">
        <f t="shared" si="1"/>
        <v/>
      </c>
      <c r="G11" t="str">
        <f>IFERROR(INDEX('Bibliothèque MP INRA'!$I:$I,MATCH($A11,'Bibliothèque MP INRA'!$C:$C,0)),"")</f>
        <v/>
      </c>
      <c r="H11" t="str">
        <f t="shared" si="2"/>
        <v/>
      </c>
      <c r="I11" t="str">
        <f>IFERROR(INDEX('Bibliothèque MP INRA'!$G:$G,MATCH($A11,'Bibliothèque MP INRA'!$C:$C,0)),"")</f>
        <v/>
      </c>
      <c r="J11" t="str">
        <f t="shared" si="3"/>
        <v/>
      </c>
      <c r="K11" t="str">
        <f>IFERROR(INDEX('Bibliothèque MP INRA'!$H:$H,MATCH($A11,'Bibliothèque MP INRA'!$C:$C,0)),"")</f>
        <v/>
      </c>
      <c r="L11" t="str">
        <f t="shared" si="4"/>
        <v/>
      </c>
      <c r="M11" t="str">
        <f>IFERROR(INDEX('Bibliothèque MP INRA'!$J:$J,MATCH($A11,'Bibliothèque MP INRA'!$C:$C,0)),"")</f>
        <v/>
      </c>
      <c r="N11" t="str">
        <f t="shared" si="5"/>
        <v/>
      </c>
      <c r="O11" t="str">
        <f>IFERROR(INDEX('Bibliothèque MP INRA'!$K:$K,MATCH($A11,'Bibliothèque MP INRA'!$C:$C,0)),"")</f>
        <v/>
      </c>
      <c r="P11" t="str">
        <f t="shared" si="6"/>
        <v/>
      </c>
      <c r="Q11" t="str">
        <f>IFERROR(INDEX('Bibliothèque MP INRA'!$L:$L,MATCH($A11,'Bibliothèque MP INRA'!$C:$C,0)),"")</f>
        <v/>
      </c>
      <c r="R11" t="str">
        <f t="shared" si="7"/>
        <v/>
      </c>
      <c r="S11" t="str">
        <f>IFERROR(INDEX('Bibliothèque MP INRA'!$M:$M,MATCH($A11,'Bibliothèque MP INRA'!$C:$C,0)),"")</f>
        <v/>
      </c>
      <c r="T11" t="str">
        <f t="shared" si="8"/>
        <v/>
      </c>
      <c r="U11" t="str">
        <f>IFERROR(INDEX('Bibliothèque MP INRA'!$N:$N,MATCH($A11,'Bibliothèque MP INRA'!$C:$C,0)),"")</f>
        <v/>
      </c>
      <c r="V11" t="str">
        <f t="shared" si="9"/>
        <v/>
      </c>
      <c r="W11" t="str">
        <f>IFERROR(INDEX('Bibliothèque MP INRA'!$O:$O,MATCH($A11,'Bibliothèque MP INRA'!$C:$C,0)),"")</f>
        <v/>
      </c>
      <c r="X11" t="str">
        <f t="shared" si="10"/>
        <v/>
      </c>
      <c r="Y11" t="str">
        <f>IFERROR(INDEX('Bibliothèque MP INRA'!$P:$P,MATCH($A11,'Bibliothèque MP INRA'!$C:$C,0)),"")</f>
        <v/>
      </c>
      <c r="Z11" t="str">
        <f t="shared" si="11"/>
        <v/>
      </c>
      <c r="AA11" t="str">
        <f ca="1">IFERROR(XLOOKUP($A11,'Bibliothèque MP INRA'!$C:$C,'Bibliothèque MP INRA'!$N:$N),"")</f>
        <v/>
      </c>
      <c r="AB11" t="str">
        <f t="shared" ca="1" si="12"/>
        <v/>
      </c>
      <c r="AC11" t="str">
        <f>IFERROR(INDEX('Bibliothèque MP INRA'!$R:$R,MATCH($A11,'Bibliothèque MP INRA'!$C:$C,0)),"")</f>
        <v/>
      </c>
      <c r="AD11" t="str">
        <f t="shared" si="13"/>
        <v/>
      </c>
      <c r="AE11" t="str">
        <f>IFERROR(INDEX('Bibliothèque MP INRA'!$Q:$Q,MATCH($A11,'Bibliothèque MP INRA'!$C:$C,0)),"")</f>
        <v/>
      </c>
      <c r="AF11" t="str">
        <f t="shared" si="14"/>
        <v/>
      </c>
      <c r="AG11" t="str">
        <f ca="1">IFERROR(XLOOKUP($A11,'Bibliothèque MP INRA'!$C:$C,'Bibliothèque MP INRA'!$B:$B),"")</f>
        <v/>
      </c>
      <c r="AH11" t="str">
        <f t="shared" ca="1" si="15"/>
        <v/>
      </c>
      <c r="AI11" t="str">
        <f>IFERROR(INDEX('Bibliothèque MP INRA'!$S:$S,MATCH($A11,'Bibliothèque MP INRA'!$C:$C,0)),"")</f>
        <v/>
      </c>
      <c r="AJ11" t="str">
        <f t="shared" si="16"/>
        <v/>
      </c>
    </row>
    <row r="12" spans="1:36" x14ac:dyDescent="0.35">
      <c r="C12" t="str">
        <f>IFERROR(INDEX('Bibliothèque MP INRA'!$D:$D,MATCH($A12,'Bibliothèque MP INRA'!$C:$C,0)),"")</f>
        <v/>
      </c>
      <c r="D12" t="str">
        <f t="shared" si="0"/>
        <v/>
      </c>
      <c r="E12" t="str">
        <f>IFERROR(INDEX('Bibliothèque MP INRA'!$E:$E,MATCH($A12,'Bibliothèque MP INRA'!$C:$C,0)),"")</f>
        <v/>
      </c>
      <c r="F12" t="str">
        <f t="shared" si="1"/>
        <v/>
      </c>
      <c r="G12" t="str">
        <f>IFERROR(INDEX('Bibliothèque MP INRA'!$I:$I,MATCH($A12,'Bibliothèque MP INRA'!$C:$C,0)),"")</f>
        <v/>
      </c>
      <c r="H12" t="str">
        <f t="shared" si="2"/>
        <v/>
      </c>
      <c r="I12" t="str">
        <f>IFERROR(INDEX('Bibliothèque MP INRA'!$G:$G,MATCH($A12,'Bibliothèque MP INRA'!$C:$C,0)),"")</f>
        <v/>
      </c>
      <c r="J12" t="str">
        <f t="shared" si="3"/>
        <v/>
      </c>
      <c r="K12" t="str">
        <f>IFERROR(INDEX('Bibliothèque MP INRA'!$H:$H,MATCH($A12,'Bibliothèque MP INRA'!$C:$C,0)),"")</f>
        <v/>
      </c>
      <c r="L12" t="str">
        <f t="shared" si="4"/>
        <v/>
      </c>
      <c r="M12" t="str">
        <f>IFERROR(INDEX('Bibliothèque MP INRA'!$J:$J,MATCH($A12,'Bibliothèque MP INRA'!$C:$C,0)),"")</f>
        <v/>
      </c>
      <c r="N12" t="str">
        <f t="shared" si="5"/>
        <v/>
      </c>
      <c r="O12" t="str">
        <f>IFERROR(INDEX('Bibliothèque MP INRA'!$K:$K,MATCH($A12,'Bibliothèque MP INRA'!$C:$C,0)),"")</f>
        <v/>
      </c>
      <c r="P12" t="str">
        <f t="shared" si="6"/>
        <v/>
      </c>
      <c r="Q12" t="str">
        <f>IFERROR(INDEX('Bibliothèque MP INRA'!$L:$L,MATCH($A12,'Bibliothèque MP INRA'!$C:$C,0)),"")</f>
        <v/>
      </c>
      <c r="R12" t="str">
        <f t="shared" si="7"/>
        <v/>
      </c>
      <c r="S12" t="str">
        <f>IFERROR(INDEX('Bibliothèque MP INRA'!$M:$M,MATCH($A12,'Bibliothèque MP INRA'!$C:$C,0)),"")</f>
        <v/>
      </c>
      <c r="T12" t="str">
        <f t="shared" si="8"/>
        <v/>
      </c>
      <c r="U12" t="str">
        <f>IFERROR(INDEX('Bibliothèque MP INRA'!$N:$N,MATCH($A12,'Bibliothèque MP INRA'!$C:$C,0)),"")</f>
        <v/>
      </c>
      <c r="V12" t="str">
        <f t="shared" si="9"/>
        <v/>
      </c>
      <c r="W12" t="str">
        <f>IFERROR(INDEX('Bibliothèque MP INRA'!$O:$O,MATCH($A12,'Bibliothèque MP INRA'!$C:$C,0)),"")</f>
        <v/>
      </c>
      <c r="X12" t="str">
        <f t="shared" si="10"/>
        <v/>
      </c>
      <c r="Y12" t="str">
        <f>IFERROR(INDEX('Bibliothèque MP INRA'!$P:$P,MATCH($A12,'Bibliothèque MP INRA'!$C:$C,0)),"")</f>
        <v/>
      </c>
      <c r="Z12" t="str">
        <f t="shared" si="11"/>
        <v/>
      </c>
      <c r="AA12" t="str">
        <f ca="1">IFERROR(XLOOKUP($A12,'Bibliothèque MP INRA'!$C:$C,'Bibliothèque MP INRA'!$N:$N),"")</f>
        <v/>
      </c>
      <c r="AB12" t="str">
        <f t="shared" ca="1" si="12"/>
        <v/>
      </c>
      <c r="AC12" t="str">
        <f>IFERROR(INDEX('Bibliothèque MP INRA'!$R:$R,MATCH($A12,'Bibliothèque MP INRA'!$C:$C,0)),"")</f>
        <v/>
      </c>
      <c r="AD12" t="str">
        <f t="shared" si="13"/>
        <v/>
      </c>
      <c r="AE12" t="str">
        <f>IFERROR(INDEX('Bibliothèque MP INRA'!$Q:$Q,MATCH($A12,'Bibliothèque MP INRA'!$C:$C,0)),"")</f>
        <v/>
      </c>
      <c r="AF12" t="str">
        <f t="shared" si="14"/>
        <v/>
      </c>
      <c r="AG12" t="str">
        <f ca="1">IFERROR(XLOOKUP($A12,'Bibliothèque MP INRA'!$C:$C,'Bibliothèque MP INRA'!$B:$B),"")</f>
        <v/>
      </c>
      <c r="AH12" t="str">
        <f t="shared" ca="1" si="15"/>
        <v/>
      </c>
      <c r="AI12" t="str">
        <f>IFERROR(INDEX('Bibliothèque MP INRA'!$S:$S,MATCH($A12,'Bibliothèque MP INRA'!$C:$C,0)),"")</f>
        <v/>
      </c>
      <c r="AJ12" t="str">
        <f t="shared" si="16"/>
        <v/>
      </c>
    </row>
    <row r="13" spans="1:36" x14ac:dyDescent="0.35">
      <c r="C13" t="str">
        <f>IFERROR(INDEX('Bibliothèque MP INRA'!$D:$D,MATCH($A13,'Bibliothèque MP INRA'!$C:$C,0)),"")</f>
        <v/>
      </c>
      <c r="D13" t="str">
        <f t="shared" si="0"/>
        <v/>
      </c>
      <c r="E13" t="str">
        <f>IFERROR(INDEX('Bibliothèque MP INRA'!$E:$E,MATCH($A13,'Bibliothèque MP INRA'!$C:$C,0)),"")</f>
        <v/>
      </c>
      <c r="F13" t="str">
        <f t="shared" si="1"/>
        <v/>
      </c>
      <c r="G13" t="str">
        <f>IFERROR(INDEX('Bibliothèque MP INRA'!$I:$I,MATCH($A13,'Bibliothèque MP INRA'!$C:$C,0)),"")</f>
        <v/>
      </c>
      <c r="H13" t="str">
        <f t="shared" si="2"/>
        <v/>
      </c>
      <c r="I13" t="str">
        <f>IFERROR(INDEX('Bibliothèque MP INRA'!$G:$G,MATCH($A13,'Bibliothèque MP INRA'!$C:$C,0)),"")</f>
        <v/>
      </c>
      <c r="J13" t="str">
        <f t="shared" si="3"/>
        <v/>
      </c>
      <c r="K13" t="str">
        <f>IFERROR(INDEX('Bibliothèque MP INRA'!$H:$H,MATCH($A13,'Bibliothèque MP INRA'!$C:$C,0)),"")</f>
        <v/>
      </c>
      <c r="L13" t="str">
        <f t="shared" si="4"/>
        <v/>
      </c>
      <c r="M13" t="str">
        <f>IFERROR(INDEX('Bibliothèque MP INRA'!$J:$J,MATCH($A13,'Bibliothèque MP INRA'!$C:$C,0)),"")</f>
        <v/>
      </c>
      <c r="N13" t="str">
        <f t="shared" si="5"/>
        <v/>
      </c>
      <c r="O13" t="str">
        <f>IFERROR(INDEX('Bibliothèque MP INRA'!$K:$K,MATCH($A13,'Bibliothèque MP INRA'!$C:$C,0)),"")</f>
        <v/>
      </c>
      <c r="P13" t="str">
        <f t="shared" si="6"/>
        <v/>
      </c>
      <c r="Q13" t="str">
        <f>IFERROR(INDEX('Bibliothèque MP INRA'!$L:$L,MATCH($A13,'Bibliothèque MP INRA'!$C:$C,0)),"")</f>
        <v/>
      </c>
      <c r="R13" t="str">
        <f t="shared" si="7"/>
        <v/>
      </c>
      <c r="S13" t="str">
        <f>IFERROR(INDEX('Bibliothèque MP INRA'!$M:$M,MATCH($A13,'Bibliothèque MP INRA'!$C:$C,0)),"")</f>
        <v/>
      </c>
      <c r="T13" t="str">
        <f t="shared" si="8"/>
        <v/>
      </c>
      <c r="U13" t="str">
        <f>IFERROR(INDEX('Bibliothèque MP INRA'!$N:$N,MATCH($A13,'Bibliothèque MP INRA'!$C:$C,0)),"")</f>
        <v/>
      </c>
      <c r="V13" t="str">
        <f t="shared" si="9"/>
        <v/>
      </c>
      <c r="W13" t="str">
        <f>IFERROR(INDEX('Bibliothèque MP INRA'!$O:$O,MATCH($A13,'Bibliothèque MP INRA'!$C:$C,0)),"")</f>
        <v/>
      </c>
      <c r="X13" t="str">
        <f t="shared" si="10"/>
        <v/>
      </c>
      <c r="Y13" t="str">
        <f>IFERROR(INDEX('Bibliothèque MP INRA'!$P:$P,MATCH($A13,'Bibliothèque MP INRA'!$C:$C,0)),"")</f>
        <v/>
      </c>
      <c r="Z13" t="str">
        <f t="shared" si="11"/>
        <v/>
      </c>
      <c r="AA13" t="str">
        <f ca="1">IFERROR(XLOOKUP($A13,'Bibliothèque MP INRA'!$C:$C,'Bibliothèque MP INRA'!$N:$N),"")</f>
        <v/>
      </c>
      <c r="AB13" t="str">
        <f t="shared" ca="1" si="12"/>
        <v/>
      </c>
      <c r="AC13" t="str">
        <f>IFERROR(INDEX('Bibliothèque MP INRA'!$R:$R,MATCH($A13,'Bibliothèque MP INRA'!$C:$C,0)),"")</f>
        <v/>
      </c>
      <c r="AD13" t="str">
        <f t="shared" si="13"/>
        <v/>
      </c>
      <c r="AE13" t="str">
        <f>IFERROR(INDEX('Bibliothèque MP INRA'!$Q:$Q,MATCH($A13,'Bibliothèque MP INRA'!$C:$C,0)),"")</f>
        <v/>
      </c>
      <c r="AF13" t="str">
        <f t="shared" si="14"/>
        <v/>
      </c>
      <c r="AG13" t="str">
        <f ca="1">IFERROR(XLOOKUP($A13,'Bibliothèque MP INRA'!$C:$C,'Bibliothèque MP INRA'!$B:$B),"")</f>
        <v/>
      </c>
      <c r="AH13" t="str">
        <f t="shared" ca="1" si="15"/>
        <v/>
      </c>
      <c r="AI13" t="str">
        <f>IFERROR(INDEX('Bibliothèque MP INRA'!$S:$S,MATCH($A13,'Bibliothèque MP INRA'!$C:$C,0)),"")</f>
        <v/>
      </c>
      <c r="AJ13" t="str">
        <f t="shared" si="16"/>
        <v/>
      </c>
    </row>
    <row r="14" spans="1:36" x14ac:dyDescent="0.35">
      <c r="C14" t="str">
        <f>IFERROR(INDEX('Bibliothèque MP INRA'!$D:$D,MATCH($A14,'Bibliothèque MP INRA'!$C:$C,0)),"")</f>
        <v/>
      </c>
      <c r="D14" t="str">
        <f t="shared" si="0"/>
        <v/>
      </c>
      <c r="E14" t="str">
        <f>IFERROR(INDEX('Bibliothèque MP INRA'!$E:$E,MATCH($A14,'Bibliothèque MP INRA'!$C:$C,0)),"")</f>
        <v/>
      </c>
      <c r="F14" t="str">
        <f t="shared" si="1"/>
        <v/>
      </c>
      <c r="G14" t="str">
        <f>IFERROR(INDEX('Bibliothèque MP INRA'!$I:$I,MATCH($A14,'Bibliothèque MP INRA'!$C:$C,0)),"")</f>
        <v/>
      </c>
      <c r="H14" t="str">
        <f t="shared" si="2"/>
        <v/>
      </c>
      <c r="I14" t="str">
        <f>IFERROR(INDEX('Bibliothèque MP INRA'!$G:$G,MATCH($A14,'Bibliothèque MP INRA'!$C:$C,0)),"")</f>
        <v/>
      </c>
      <c r="J14" t="str">
        <f t="shared" si="3"/>
        <v/>
      </c>
      <c r="K14" t="str">
        <f>IFERROR(INDEX('Bibliothèque MP INRA'!$H:$H,MATCH($A14,'Bibliothèque MP INRA'!$C:$C,0)),"")</f>
        <v/>
      </c>
      <c r="L14" t="str">
        <f t="shared" si="4"/>
        <v/>
      </c>
      <c r="M14" t="str">
        <f>IFERROR(INDEX('Bibliothèque MP INRA'!$J:$J,MATCH($A14,'Bibliothèque MP INRA'!$C:$C,0)),"")</f>
        <v/>
      </c>
      <c r="N14" t="str">
        <f t="shared" si="5"/>
        <v/>
      </c>
      <c r="O14" t="str">
        <f>IFERROR(INDEX('Bibliothèque MP INRA'!$K:$K,MATCH($A14,'Bibliothèque MP INRA'!$C:$C,0)),"")</f>
        <v/>
      </c>
      <c r="P14" t="str">
        <f t="shared" si="6"/>
        <v/>
      </c>
      <c r="Q14" t="str">
        <f>IFERROR(INDEX('Bibliothèque MP INRA'!$L:$L,MATCH($A14,'Bibliothèque MP INRA'!$C:$C,0)),"")</f>
        <v/>
      </c>
      <c r="R14" t="str">
        <f t="shared" si="7"/>
        <v/>
      </c>
      <c r="S14" t="str">
        <f>IFERROR(INDEX('Bibliothèque MP INRA'!$M:$M,MATCH($A14,'Bibliothèque MP INRA'!$C:$C,0)),"")</f>
        <v/>
      </c>
      <c r="T14" t="str">
        <f t="shared" si="8"/>
        <v/>
      </c>
      <c r="U14" t="str">
        <f>IFERROR(INDEX('Bibliothèque MP INRA'!$N:$N,MATCH($A14,'Bibliothèque MP INRA'!$C:$C,0)),"")</f>
        <v/>
      </c>
      <c r="V14" t="str">
        <f t="shared" si="9"/>
        <v/>
      </c>
      <c r="W14" t="str">
        <f>IFERROR(INDEX('Bibliothèque MP INRA'!$O:$O,MATCH($A14,'Bibliothèque MP INRA'!$C:$C,0)),"")</f>
        <v/>
      </c>
      <c r="X14" t="str">
        <f t="shared" si="10"/>
        <v/>
      </c>
      <c r="Y14" t="str">
        <f>IFERROR(INDEX('Bibliothèque MP INRA'!$P:$P,MATCH($A14,'Bibliothèque MP INRA'!$C:$C,0)),"")</f>
        <v/>
      </c>
      <c r="Z14" t="str">
        <f t="shared" si="11"/>
        <v/>
      </c>
      <c r="AA14" t="str">
        <f ca="1">IFERROR(XLOOKUP($A14,'Bibliothèque MP INRA'!$C:$C,'Bibliothèque MP INRA'!$N:$N),"")</f>
        <v/>
      </c>
      <c r="AB14" t="str">
        <f t="shared" ca="1" si="12"/>
        <v/>
      </c>
      <c r="AC14" t="str">
        <f>IFERROR(INDEX('Bibliothèque MP INRA'!$R:$R,MATCH($A14,'Bibliothèque MP INRA'!$C:$C,0)),"")</f>
        <v/>
      </c>
      <c r="AD14" t="str">
        <f t="shared" si="13"/>
        <v/>
      </c>
      <c r="AE14" t="str">
        <f>IFERROR(INDEX('Bibliothèque MP INRA'!$Q:$Q,MATCH($A14,'Bibliothèque MP INRA'!$C:$C,0)),"")</f>
        <v/>
      </c>
      <c r="AF14" t="str">
        <f t="shared" si="14"/>
        <v/>
      </c>
      <c r="AG14" t="str">
        <f ca="1">IFERROR(XLOOKUP($A14,'Bibliothèque MP INRA'!$C:$C,'Bibliothèque MP INRA'!$B:$B),"")</f>
        <v/>
      </c>
      <c r="AH14" t="str">
        <f t="shared" ca="1" si="15"/>
        <v/>
      </c>
      <c r="AI14" t="str">
        <f>IFERROR(INDEX('Bibliothèque MP INRA'!$S:$S,MATCH($A14,'Bibliothèque MP INRA'!$C:$C,0)),"")</f>
        <v/>
      </c>
      <c r="AJ14" t="str">
        <f t="shared" si="16"/>
        <v/>
      </c>
    </row>
    <row r="15" spans="1:36" x14ac:dyDescent="0.35">
      <c r="C15" t="str">
        <f>IFERROR(INDEX('Bibliothèque MP INRA'!$D:$D,MATCH($A15,'Bibliothèque MP INRA'!$C:$C,0)),"")</f>
        <v/>
      </c>
      <c r="D15" t="str">
        <f t="shared" si="0"/>
        <v/>
      </c>
      <c r="E15" t="str">
        <f>IFERROR(INDEX('Bibliothèque MP INRA'!$E:$E,MATCH($A15,'Bibliothèque MP INRA'!$C:$C,0)),"")</f>
        <v/>
      </c>
      <c r="F15" t="str">
        <f t="shared" si="1"/>
        <v/>
      </c>
      <c r="G15" t="str">
        <f>IFERROR(INDEX('Bibliothèque MP INRA'!$I:$I,MATCH($A15,'Bibliothèque MP INRA'!$C:$C,0)),"")</f>
        <v/>
      </c>
      <c r="H15" t="str">
        <f t="shared" si="2"/>
        <v/>
      </c>
      <c r="I15" t="str">
        <f>IFERROR(INDEX('Bibliothèque MP INRA'!$G:$G,MATCH($A15,'Bibliothèque MP INRA'!$C:$C,0)),"")</f>
        <v/>
      </c>
      <c r="J15" t="str">
        <f t="shared" si="3"/>
        <v/>
      </c>
      <c r="K15" t="str">
        <f>IFERROR(INDEX('Bibliothèque MP INRA'!$H:$H,MATCH($A15,'Bibliothèque MP INRA'!$C:$C,0)),"")</f>
        <v/>
      </c>
      <c r="L15" t="str">
        <f t="shared" si="4"/>
        <v/>
      </c>
      <c r="M15" t="str">
        <f>IFERROR(INDEX('Bibliothèque MP INRA'!$J:$J,MATCH($A15,'Bibliothèque MP INRA'!$C:$C,0)),"")</f>
        <v/>
      </c>
      <c r="N15" t="str">
        <f t="shared" si="5"/>
        <v/>
      </c>
      <c r="O15" t="str">
        <f>IFERROR(INDEX('Bibliothèque MP INRA'!$K:$K,MATCH($A15,'Bibliothèque MP INRA'!$C:$C,0)),"")</f>
        <v/>
      </c>
      <c r="P15" t="str">
        <f t="shared" si="6"/>
        <v/>
      </c>
      <c r="Q15" t="str">
        <f>IFERROR(INDEX('Bibliothèque MP INRA'!$L:$L,MATCH($A15,'Bibliothèque MP INRA'!$C:$C,0)),"")</f>
        <v/>
      </c>
      <c r="R15" t="str">
        <f t="shared" si="7"/>
        <v/>
      </c>
      <c r="S15" t="str">
        <f>IFERROR(INDEX('Bibliothèque MP INRA'!$M:$M,MATCH($A15,'Bibliothèque MP INRA'!$C:$C,0)),"")</f>
        <v/>
      </c>
      <c r="T15" t="str">
        <f t="shared" si="8"/>
        <v/>
      </c>
      <c r="U15" t="str">
        <f>IFERROR(INDEX('Bibliothèque MP INRA'!$N:$N,MATCH($A15,'Bibliothèque MP INRA'!$C:$C,0)),"")</f>
        <v/>
      </c>
      <c r="V15" t="str">
        <f t="shared" si="9"/>
        <v/>
      </c>
      <c r="W15" t="str">
        <f>IFERROR(INDEX('Bibliothèque MP INRA'!$O:$O,MATCH($A15,'Bibliothèque MP INRA'!$C:$C,0)),"")</f>
        <v/>
      </c>
      <c r="X15" t="str">
        <f t="shared" si="10"/>
        <v/>
      </c>
      <c r="Y15" t="str">
        <f>IFERROR(INDEX('Bibliothèque MP INRA'!$P:$P,MATCH($A15,'Bibliothèque MP INRA'!$C:$C,0)),"")</f>
        <v/>
      </c>
      <c r="Z15" t="str">
        <f t="shared" si="11"/>
        <v/>
      </c>
      <c r="AA15" t="str">
        <f ca="1">IFERROR(XLOOKUP($A15,'Bibliothèque MP INRA'!$C:$C,'Bibliothèque MP INRA'!$N:$N),"")</f>
        <v/>
      </c>
      <c r="AB15" t="str">
        <f t="shared" ca="1" si="12"/>
        <v/>
      </c>
      <c r="AC15" t="str">
        <f>IFERROR(INDEX('Bibliothèque MP INRA'!$R:$R,MATCH($A15,'Bibliothèque MP INRA'!$C:$C,0)),"")</f>
        <v/>
      </c>
      <c r="AD15" t="str">
        <f t="shared" si="13"/>
        <v/>
      </c>
      <c r="AE15" t="str">
        <f>IFERROR(INDEX('Bibliothèque MP INRA'!$Q:$Q,MATCH($A15,'Bibliothèque MP INRA'!$C:$C,0)),"")</f>
        <v/>
      </c>
      <c r="AF15" t="str">
        <f t="shared" si="14"/>
        <v/>
      </c>
      <c r="AG15" t="str">
        <f ca="1">IFERROR(XLOOKUP($A15,'Bibliothèque MP INRA'!$C:$C,'Bibliothèque MP INRA'!$B:$B),"")</f>
        <v/>
      </c>
      <c r="AH15" t="str">
        <f t="shared" ca="1" si="15"/>
        <v/>
      </c>
      <c r="AI15" t="str">
        <f>IFERROR(INDEX('Bibliothèque MP INRA'!$S:$S,MATCH($A15,'Bibliothèque MP INRA'!$C:$C,0)),"")</f>
        <v/>
      </c>
      <c r="AJ15" t="str">
        <f t="shared" si="16"/>
        <v/>
      </c>
    </row>
    <row r="16" spans="1:36" x14ac:dyDescent="0.35">
      <c r="C16" t="str">
        <f>IFERROR(INDEX('Bibliothèque MP INRA'!$D:$D,MATCH($A16,'Bibliothèque MP INRA'!$C:$C,0)),"")</f>
        <v/>
      </c>
      <c r="D16" t="str">
        <f t="shared" si="0"/>
        <v/>
      </c>
      <c r="E16" t="str">
        <f>IFERROR(INDEX('Bibliothèque MP INRA'!$E:$E,MATCH($A16,'Bibliothèque MP INRA'!$C:$C,0)),"")</f>
        <v/>
      </c>
      <c r="F16" t="str">
        <f t="shared" si="1"/>
        <v/>
      </c>
      <c r="G16" t="str">
        <f>IFERROR(INDEX('Bibliothèque MP INRA'!$I:$I,MATCH($A16,'Bibliothèque MP INRA'!$C:$C,0)),"")</f>
        <v/>
      </c>
      <c r="H16" t="str">
        <f t="shared" si="2"/>
        <v/>
      </c>
      <c r="I16" t="str">
        <f>IFERROR(INDEX('Bibliothèque MP INRA'!$G:$G,MATCH($A16,'Bibliothèque MP INRA'!$C:$C,0)),"")</f>
        <v/>
      </c>
      <c r="J16" t="str">
        <f t="shared" si="3"/>
        <v/>
      </c>
      <c r="K16" t="str">
        <f>IFERROR(INDEX('Bibliothèque MP INRA'!$H:$H,MATCH($A16,'Bibliothèque MP INRA'!$C:$C,0)),"")</f>
        <v/>
      </c>
      <c r="L16" t="str">
        <f t="shared" si="4"/>
        <v/>
      </c>
      <c r="M16" t="str">
        <f>IFERROR(INDEX('Bibliothèque MP INRA'!$J:$J,MATCH($A16,'Bibliothèque MP INRA'!$C:$C,0)),"")</f>
        <v/>
      </c>
      <c r="N16" t="str">
        <f t="shared" si="5"/>
        <v/>
      </c>
      <c r="O16" t="str">
        <f>IFERROR(INDEX('Bibliothèque MP INRA'!$K:$K,MATCH($A16,'Bibliothèque MP INRA'!$C:$C,0)),"")</f>
        <v/>
      </c>
      <c r="P16" t="str">
        <f t="shared" si="6"/>
        <v/>
      </c>
      <c r="Q16" t="str">
        <f>IFERROR(INDEX('Bibliothèque MP INRA'!$L:$L,MATCH($A16,'Bibliothèque MP INRA'!$C:$C,0)),"")</f>
        <v/>
      </c>
      <c r="R16" t="str">
        <f t="shared" si="7"/>
        <v/>
      </c>
      <c r="S16" t="str">
        <f>IFERROR(INDEX('Bibliothèque MP INRA'!$M:$M,MATCH($A16,'Bibliothèque MP INRA'!$C:$C,0)),"")</f>
        <v/>
      </c>
      <c r="T16" t="str">
        <f t="shared" si="8"/>
        <v/>
      </c>
      <c r="U16" t="str">
        <f>IFERROR(INDEX('Bibliothèque MP INRA'!$N:$N,MATCH($A16,'Bibliothèque MP INRA'!$C:$C,0)),"")</f>
        <v/>
      </c>
      <c r="V16" t="str">
        <f t="shared" si="9"/>
        <v/>
      </c>
      <c r="W16" t="str">
        <f>IFERROR(INDEX('Bibliothèque MP INRA'!$O:$O,MATCH($A16,'Bibliothèque MP INRA'!$C:$C,0)),"")</f>
        <v/>
      </c>
      <c r="X16" t="str">
        <f t="shared" si="10"/>
        <v/>
      </c>
      <c r="Y16" t="str">
        <f>IFERROR(INDEX('Bibliothèque MP INRA'!$P:$P,MATCH($A16,'Bibliothèque MP INRA'!$C:$C,0)),"")</f>
        <v/>
      </c>
      <c r="Z16" t="str">
        <f t="shared" si="11"/>
        <v/>
      </c>
      <c r="AA16" t="str">
        <f ca="1">IFERROR(XLOOKUP($A16,'Bibliothèque MP INRA'!$C:$C,'Bibliothèque MP INRA'!$N:$N),"")</f>
        <v/>
      </c>
      <c r="AB16" t="str">
        <f t="shared" ca="1" si="12"/>
        <v/>
      </c>
      <c r="AC16" t="str">
        <f>IFERROR(INDEX('Bibliothèque MP INRA'!$R:$R,MATCH($A16,'Bibliothèque MP INRA'!$C:$C,0)),"")</f>
        <v/>
      </c>
      <c r="AD16" t="str">
        <f t="shared" si="13"/>
        <v/>
      </c>
      <c r="AE16" t="str">
        <f>IFERROR(INDEX('Bibliothèque MP INRA'!$Q:$Q,MATCH($A16,'Bibliothèque MP INRA'!$C:$C,0)),"")</f>
        <v/>
      </c>
      <c r="AF16" t="str">
        <f t="shared" si="14"/>
        <v/>
      </c>
      <c r="AG16" t="str">
        <f ca="1">IFERROR(XLOOKUP($A16,'Bibliothèque MP INRA'!$C:$C,'Bibliothèque MP INRA'!$B:$B),"")</f>
        <v/>
      </c>
      <c r="AH16" t="str">
        <f t="shared" ca="1" si="15"/>
        <v/>
      </c>
      <c r="AI16" t="str">
        <f>IFERROR(INDEX('Bibliothèque MP INRA'!$S:$S,MATCH($A16,'Bibliothèque MP INRA'!$C:$C,0)),"")</f>
        <v/>
      </c>
      <c r="AJ16" t="str">
        <f t="shared" si="16"/>
        <v/>
      </c>
    </row>
    <row r="17" spans="3:36" x14ac:dyDescent="0.35">
      <c r="C17" t="str">
        <f>IFERROR(INDEX('Bibliothèque MP INRA'!$D:$D,MATCH($A17,'Bibliothèque MP INRA'!$C:$C,0)),"")</f>
        <v/>
      </c>
      <c r="D17" t="str">
        <f t="shared" si="0"/>
        <v/>
      </c>
      <c r="E17" t="str">
        <f>IFERROR(INDEX('Bibliothèque MP INRA'!$E:$E,MATCH($A17,'Bibliothèque MP INRA'!$C:$C,0)),"")</f>
        <v/>
      </c>
      <c r="F17" t="str">
        <f t="shared" si="1"/>
        <v/>
      </c>
      <c r="G17" t="str">
        <f>IFERROR(INDEX('Bibliothèque MP INRA'!$I:$I,MATCH($A17,'Bibliothèque MP INRA'!$C:$C,0)),"")</f>
        <v/>
      </c>
      <c r="H17" t="str">
        <f t="shared" si="2"/>
        <v/>
      </c>
      <c r="I17" t="str">
        <f>IFERROR(INDEX('Bibliothèque MP INRA'!$G:$G,MATCH($A17,'Bibliothèque MP INRA'!$C:$C,0)),"")</f>
        <v/>
      </c>
      <c r="J17" t="str">
        <f t="shared" si="3"/>
        <v/>
      </c>
      <c r="K17" t="str">
        <f>IFERROR(INDEX('Bibliothèque MP INRA'!$H:$H,MATCH($A17,'Bibliothèque MP INRA'!$C:$C,0)),"")</f>
        <v/>
      </c>
      <c r="L17" t="str">
        <f t="shared" si="4"/>
        <v/>
      </c>
      <c r="M17" t="str">
        <f>IFERROR(INDEX('Bibliothèque MP INRA'!$J:$J,MATCH($A17,'Bibliothèque MP INRA'!$C:$C,0)),"")</f>
        <v/>
      </c>
      <c r="N17" t="str">
        <f t="shared" si="5"/>
        <v/>
      </c>
      <c r="O17" t="str">
        <f>IFERROR(INDEX('Bibliothèque MP INRA'!$K:$K,MATCH($A17,'Bibliothèque MP INRA'!$C:$C,0)),"")</f>
        <v/>
      </c>
      <c r="P17" t="str">
        <f t="shared" si="6"/>
        <v/>
      </c>
      <c r="Q17" t="str">
        <f>IFERROR(INDEX('Bibliothèque MP INRA'!$L:$L,MATCH($A17,'Bibliothèque MP INRA'!$C:$C,0)),"")</f>
        <v/>
      </c>
      <c r="R17" t="str">
        <f t="shared" si="7"/>
        <v/>
      </c>
      <c r="S17" t="str">
        <f>IFERROR(INDEX('Bibliothèque MP INRA'!$M:$M,MATCH($A17,'Bibliothèque MP INRA'!$C:$C,0)),"")</f>
        <v/>
      </c>
      <c r="T17" t="str">
        <f t="shared" si="8"/>
        <v/>
      </c>
      <c r="U17" t="str">
        <f>IFERROR(INDEX('Bibliothèque MP INRA'!$N:$N,MATCH($A17,'Bibliothèque MP INRA'!$C:$C,0)),"")</f>
        <v/>
      </c>
      <c r="V17" t="str">
        <f t="shared" si="9"/>
        <v/>
      </c>
      <c r="W17" t="str">
        <f>IFERROR(INDEX('Bibliothèque MP INRA'!$O:$O,MATCH($A17,'Bibliothèque MP INRA'!$C:$C,0)),"")</f>
        <v/>
      </c>
      <c r="X17" t="str">
        <f t="shared" si="10"/>
        <v/>
      </c>
      <c r="Y17" t="str">
        <f>IFERROR(INDEX('Bibliothèque MP INRA'!$P:$P,MATCH($A17,'Bibliothèque MP INRA'!$C:$C,0)),"")</f>
        <v/>
      </c>
      <c r="Z17" t="str">
        <f t="shared" si="11"/>
        <v/>
      </c>
      <c r="AA17" t="str">
        <f ca="1">IFERROR(XLOOKUP($A17,'Bibliothèque MP INRA'!$C:$C,'Bibliothèque MP INRA'!$N:$N),"")</f>
        <v/>
      </c>
      <c r="AB17" t="str">
        <f t="shared" ca="1" si="12"/>
        <v/>
      </c>
      <c r="AC17" t="str">
        <f>IFERROR(INDEX('Bibliothèque MP INRA'!$R:$R,MATCH($A17,'Bibliothèque MP INRA'!$C:$C,0)),"")</f>
        <v/>
      </c>
      <c r="AD17" t="str">
        <f t="shared" si="13"/>
        <v/>
      </c>
      <c r="AE17" t="str">
        <f>IFERROR(INDEX('Bibliothèque MP INRA'!$Q:$Q,MATCH($A17,'Bibliothèque MP INRA'!$C:$C,0)),"")</f>
        <v/>
      </c>
      <c r="AF17" t="str">
        <f t="shared" si="14"/>
        <v/>
      </c>
      <c r="AG17" t="str">
        <f ca="1">IFERROR(XLOOKUP($A17,'Bibliothèque MP INRA'!$C:$C,'Bibliothèque MP INRA'!$B:$B),"")</f>
        <v/>
      </c>
      <c r="AH17" t="str">
        <f t="shared" ca="1" si="15"/>
        <v/>
      </c>
      <c r="AI17" t="str">
        <f>IFERROR(INDEX('Bibliothèque MP INRA'!$S:$S,MATCH($A17,'Bibliothèque MP INRA'!$C:$C,0)),"")</f>
        <v/>
      </c>
      <c r="AJ17" t="str">
        <f t="shared" si="16"/>
        <v/>
      </c>
    </row>
    <row r="18" spans="3:36" x14ac:dyDescent="0.35">
      <c r="C18" t="str">
        <f>IFERROR(INDEX('Bibliothèque MP INRA'!$D:$D,MATCH($A18,'Bibliothèque MP INRA'!$C:$C,0)),"")</f>
        <v/>
      </c>
      <c r="D18" t="str">
        <f t="shared" si="0"/>
        <v/>
      </c>
      <c r="E18" t="str">
        <f>IFERROR(INDEX('Bibliothèque MP INRA'!$E:$E,MATCH($A18,'Bibliothèque MP INRA'!$C:$C,0)),"")</f>
        <v/>
      </c>
      <c r="F18" t="str">
        <f t="shared" si="1"/>
        <v/>
      </c>
      <c r="G18" t="str">
        <f>IFERROR(INDEX('Bibliothèque MP INRA'!$I:$I,MATCH($A18,'Bibliothèque MP INRA'!$C:$C,0)),"")</f>
        <v/>
      </c>
      <c r="H18" t="str">
        <f t="shared" si="2"/>
        <v/>
      </c>
      <c r="I18" t="str">
        <f>IFERROR(INDEX('Bibliothèque MP INRA'!$G:$G,MATCH($A18,'Bibliothèque MP INRA'!$C:$C,0)),"")</f>
        <v/>
      </c>
      <c r="J18" t="str">
        <f t="shared" si="3"/>
        <v/>
      </c>
      <c r="K18" t="str">
        <f>IFERROR(INDEX('Bibliothèque MP INRA'!$H:$H,MATCH($A18,'Bibliothèque MP INRA'!$C:$C,0)),"")</f>
        <v/>
      </c>
      <c r="L18" t="str">
        <f t="shared" si="4"/>
        <v/>
      </c>
      <c r="M18" t="str">
        <f>IFERROR(INDEX('Bibliothèque MP INRA'!$J:$J,MATCH($A18,'Bibliothèque MP INRA'!$C:$C,0)),"")</f>
        <v/>
      </c>
      <c r="N18" t="str">
        <f t="shared" si="5"/>
        <v/>
      </c>
      <c r="O18" t="str">
        <f>IFERROR(INDEX('Bibliothèque MP INRA'!$K:$K,MATCH($A18,'Bibliothèque MP INRA'!$C:$C,0)),"")</f>
        <v/>
      </c>
      <c r="P18" t="str">
        <f t="shared" si="6"/>
        <v/>
      </c>
      <c r="Q18" t="str">
        <f>IFERROR(INDEX('Bibliothèque MP INRA'!$L:$L,MATCH($A18,'Bibliothèque MP INRA'!$C:$C,0)),"")</f>
        <v/>
      </c>
      <c r="R18" t="str">
        <f t="shared" si="7"/>
        <v/>
      </c>
      <c r="S18" t="str">
        <f>IFERROR(INDEX('Bibliothèque MP INRA'!$M:$M,MATCH($A18,'Bibliothèque MP INRA'!$C:$C,0)),"")</f>
        <v/>
      </c>
      <c r="T18" t="str">
        <f t="shared" si="8"/>
        <v/>
      </c>
      <c r="U18" t="str">
        <f>IFERROR(INDEX('Bibliothèque MP INRA'!$N:$N,MATCH($A18,'Bibliothèque MP INRA'!$C:$C,0)),"")</f>
        <v/>
      </c>
      <c r="V18" t="str">
        <f t="shared" si="9"/>
        <v/>
      </c>
      <c r="W18" t="str">
        <f>IFERROR(INDEX('Bibliothèque MP INRA'!$O:$O,MATCH($A18,'Bibliothèque MP INRA'!$C:$C,0)),"")</f>
        <v/>
      </c>
      <c r="X18" t="str">
        <f t="shared" si="10"/>
        <v/>
      </c>
      <c r="Y18" t="str">
        <f>IFERROR(INDEX('Bibliothèque MP INRA'!$P:$P,MATCH($A18,'Bibliothèque MP INRA'!$C:$C,0)),"")</f>
        <v/>
      </c>
      <c r="Z18" t="str">
        <f t="shared" si="11"/>
        <v/>
      </c>
      <c r="AA18" t="str">
        <f ca="1">IFERROR(XLOOKUP($A18,'Bibliothèque MP INRA'!$C:$C,'Bibliothèque MP INRA'!$N:$N),"")</f>
        <v/>
      </c>
      <c r="AB18" t="str">
        <f t="shared" ca="1" si="12"/>
        <v/>
      </c>
      <c r="AC18" t="str">
        <f>IFERROR(INDEX('Bibliothèque MP INRA'!$R:$R,MATCH($A18,'Bibliothèque MP INRA'!$C:$C,0)),"")</f>
        <v/>
      </c>
      <c r="AD18" t="str">
        <f t="shared" si="13"/>
        <v/>
      </c>
      <c r="AE18" t="str">
        <f>IFERROR(INDEX('Bibliothèque MP INRA'!$Q:$Q,MATCH($A18,'Bibliothèque MP INRA'!$C:$C,0)),"")</f>
        <v/>
      </c>
      <c r="AF18" t="str">
        <f t="shared" si="14"/>
        <v/>
      </c>
      <c r="AG18" t="str">
        <f ca="1">IFERROR(XLOOKUP($A18,'Bibliothèque MP INRA'!$C:$C,'Bibliothèque MP INRA'!$B:$B),"")</f>
        <v/>
      </c>
      <c r="AH18" t="str">
        <f t="shared" ca="1" si="15"/>
        <v/>
      </c>
      <c r="AI18" t="str">
        <f>IFERROR(INDEX('Bibliothèque MP INRA'!$S:$S,MATCH($A18,'Bibliothèque MP INRA'!$C:$C,0)),"")</f>
        <v/>
      </c>
      <c r="AJ18" t="str">
        <f t="shared" si="16"/>
        <v/>
      </c>
    </row>
    <row r="19" spans="3:36" x14ac:dyDescent="0.35">
      <c r="C19" t="str">
        <f>IFERROR(INDEX('Bibliothèque MP INRA'!$D:$D,MATCH($A19,'Bibliothèque MP INRA'!$C:$C,0)),"")</f>
        <v/>
      </c>
      <c r="D19" t="str">
        <f t="shared" si="0"/>
        <v/>
      </c>
      <c r="E19" t="str">
        <f>IFERROR(INDEX('Bibliothèque MP INRA'!$E:$E,MATCH($A19,'Bibliothèque MP INRA'!$C:$C,0)),"")</f>
        <v/>
      </c>
      <c r="F19" t="str">
        <f t="shared" si="1"/>
        <v/>
      </c>
      <c r="G19" t="str">
        <f>IFERROR(INDEX('Bibliothèque MP INRA'!$I:$I,MATCH($A19,'Bibliothèque MP INRA'!$C:$C,0)),"")</f>
        <v/>
      </c>
      <c r="H19" t="str">
        <f t="shared" si="2"/>
        <v/>
      </c>
      <c r="I19" t="str">
        <f>IFERROR(INDEX('Bibliothèque MP INRA'!$G:$G,MATCH($A19,'Bibliothèque MP INRA'!$C:$C,0)),"")</f>
        <v/>
      </c>
      <c r="J19" t="str">
        <f t="shared" si="3"/>
        <v/>
      </c>
      <c r="K19" t="str">
        <f>IFERROR(INDEX('Bibliothèque MP INRA'!$H:$H,MATCH($A19,'Bibliothèque MP INRA'!$C:$C,0)),"")</f>
        <v/>
      </c>
      <c r="L19" t="str">
        <f t="shared" si="4"/>
        <v/>
      </c>
      <c r="M19" t="str">
        <f>IFERROR(INDEX('Bibliothèque MP INRA'!$J:$J,MATCH($A19,'Bibliothèque MP INRA'!$C:$C,0)),"")</f>
        <v/>
      </c>
      <c r="N19" t="str">
        <f t="shared" si="5"/>
        <v/>
      </c>
      <c r="O19" t="str">
        <f>IFERROR(INDEX('Bibliothèque MP INRA'!$K:$K,MATCH($A19,'Bibliothèque MP INRA'!$C:$C,0)),"")</f>
        <v/>
      </c>
      <c r="P19" t="str">
        <f t="shared" si="6"/>
        <v/>
      </c>
      <c r="Q19" t="str">
        <f>IFERROR(INDEX('Bibliothèque MP INRA'!$L:$L,MATCH($A19,'Bibliothèque MP INRA'!$C:$C,0)),"")</f>
        <v/>
      </c>
      <c r="R19" t="str">
        <f t="shared" si="7"/>
        <v/>
      </c>
      <c r="S19" t="str">
        <f>IFERROR(INDEX('Bibliothèque MP INRA'!$M:$M,MATCH($A19,'Bibliothèque MP INRA'!$C:$C,0)),"")</f>
        <v/>
      </c>
      <c r="T19" t="str">
        <f t="shared" si="8"/>
        <v/>
      </c>
      <c r="U19" t="str">
        <f>IFERROR(INDEX('Bibliothèque MP INRA'!$N:$N,MATCH($A19,'Bibliothèque MP INRA'!$C:$C,0)),"")</f>
        <v/>
      </c>
      <c r="V19" t="str">
        <f t="shared" si="9"/>
        <v/>
      </c>
      <c r="W19" t="str">
        <f>IFERROR(INDEX('Bibliothèque MP INRA'!$O:$O,MATCH($A19,'Bibliothèque MP INRA'!$C:$C,0)),"")</f>
        <v/>
      </c>
      <c r="X19" t="str">
        <f t="shared" si="10"/>
        <v/>
      </c>
      <c r="Y19" t="str">
        <f>IFERROR(INDEX('Bibliothèque MP INRA'!$P:$P,MATCH($A19,'Bibliothèque MP INRA'!$C:$C,0)),"")</f>
        <v/>
      </c>
      <c r="Z19" t="str">
        <f t="shared" si="11"/>
        <v/>
      </c>
      <c r="AA19" t="str">
        <f ca="1">IFERROR(XLOOKUP($A19,'Bibliothèque MP INRA'!$C:$C,'Bibliothèque MP INRA'!$N:$N),"")</f>
        <v/>
      </c>
      <c r="AB19" t="str">
        <f t="shared" ca="1" si="12"/>
        <v/>
      </c>
      <c r="AC19" t="str">
        <f>IFERROR(INDEX('Bibliothèque MP INRA'!$R:$R,MATCH($A19,'Bibliothèque MP INRA'!$C:$C,0)),"")</f>
        <v/>
      </c>
      <c r="AD19" t="str">
        <f t="shared" si="13"/>
        <v/>
      </c>
      <c r="AE19" t="str">
        <f>IFERROR(INDEX('Bibliothèque MP INRA'!$Q:$Q,MATCH($A19,'Bibliothèque MP INRA'!$C:$C,0)),"")</f>
        <v/>
      </c>
      <c r="AF19" t="str">
        <f t="shared" si="14"/>
        <v/>
      </c>
      <c r="AG19" t="str">
        <f ca="1">IFERROR(XLOOKUP($A19,'Bibliothèque MP INRA'!$C:$C,'Bibliothèque MP INRA'!$B:$B),"")</f>
        <v/>
      </c>
      <c r="AH19" t="str">
        <f t="shared" ca="1" si="15"/>
        <v/>
      </c>
      <c r="AI19" t="str">
        <f>IFERROR(INDEX('Bibliothèque MP INRA'!$S:$S,MATCH($A19,'Bibliothèque MP INRA'!$C:$C,0)),"")</f>
        <v/>
      </c>
      <c r="AJ19" t="str">
        <f t="shared" si="16"/>
        <v/>
      </c>
    </row>
    <row r="20" spans="3:36" x14ac:dyDescent="0.35">
      <c r="C20" t="str">
        <f>IFERROR(INDEX('Bibliothèque MP INRA'!$D:$D,MATCH($A20,'Bibliothèque MP INRA'!$C:$C,0)),"")</f>
        <v/>
      </c>
      <c r="D20" t="str">
        <f t="shared" si="0"/>
        <v/>
      </c>
      <c r="E20" t="str">
        <f>IFERROR(INDEX('Bibliothèque MP INRA'!$E:$E,MATCH($A20,'Bibliothèque MP INRA'!$C:$C,0)),"")</f>
        <v/>
      </c>
      <c r="F20" t="str">
        <f t="shared" si="1"/>
        <v/>
      </c>
      <c r="G20" t="str">
        <f>IFERROR(INDEX('Bibliothèque MP INRA'!$I:$I,MATCH($A20,'Bibliothèque MP INRA'!$C:$C,0)),"")</f>
        <v/>
      </c>
      <c r="H20" t="str">
        <f t="shared" si="2"/>
        <v/>
      </c>
      <c r="I20" t="str">
        <f>IFERROR(INDEX('Bibliothèque MP INRA'!$G:$G,MATCH($A20,'Bibliothèque MP INRA'!$C:$C,0)),"")</f>
        <v/>
      </c>
      <c r="J20" t="str">
        <f t="shared" si="3"/>
        <v/>
      </c>
      <c r="K20" t="str">
        <f>IFERROR(INDEX('Bibliothèque MP INRA'!$H:$H,MATCH($A20,'Bibliothèque MP INRA'!$C:$C,0)),"")</f>
        <v/>
      </c>
      <c r="L20" t="str">
        <f t="shared" si="4"/>
        <v/>
      </c>
      <c r="M20" t="str">
        <f>IFERROR(INDEX('Bibliothèque MP INRA'!$J:$J,MATCH($A20,'Bibliothèque MP INRA'!$C:$C,0)),"")</f>
        <v/>
      </c>
      <c r="N20" t="str">
        <f t="shared" si="5"/>
        <v/>
      </c>
      <c r="O20" t="str">
        <f>IFERROR(INDEX('Bibliothèque MP INRA'!$K:$K,MATCH($A20,'Bibliothèque MP INRA'!$C:$C,0)),"")</f>
        <v/>
      </c>
      <c r="P20" t="str">
        <f t="shared" si="6"/>
        <v/>
      </c>
      <c r="Q20" t="str">
        <f>IFERROR(INDEX('Bibliothèque MP INRA'!$L:$L,MATCH($A20,'Bibliothèque MP INRA'!$C:$C,0)),"")</f>
        <v/>
      </c>
      <c r="R20" t="str">
        <f t="shared" si="7"/>
        <v/>
      </c>
      <c r="S20" t="str">
        <f>IFERROR(INDEX('Bibliothèque MP INRA'!$M:$M,MATCH($A20,'Bibliothèque MP INRA'!$C:$C,0)),"")</f>
        <v/>
      </c>
      <c r="T20" t="str">
        <f t="shared" si="8"/>
        <v/>
      </c>
      <c r="U20" t="str">
        <f>IFERROR(INDEX('Bibliothèque MP INRA'!$N:$N,MATCH($A20,'Bibliothèque MP INRA'!$C:$C,0)),"")</f>
        <v/>
      </c>
      <c r="V20" t="str">
        <f t="shared" si="9"/>
        <v/>
      </c>
      <c r="W20" t="str">
        <f>IFERROR(INDEX('Bibliothèque MP INRA'!$O:$O,MATCH($A20,'Bibliothèque MP INRA'!$C:$C,0)),"")</f>
        <v/>
      </c>
      <c r="X20" t="str">
        <f t="shared" si="10"/>
        <v/>
      </c>
      <c r="Y20" t="str">
        <f>IFERROR(INDEX('Bibliothèque MP INRA'!$P:$P,MATCH($A20,'Bibliothèque MP INRA'!$C:$C,0)),"")</f>
        <v/>
      </c>
      <c r="Z20" t="str">
        <f t="shared" si="11"/>
        <v/>
      </c>
      <c r="AA20" t="str">
        <f ca="1">IFERROR(XLOOKUP($A20,'Bibliothèque MP INRA'!$C:$C,'Bibliothèque MP INRA'!$N:$N),"")</f>
        <v/>
      </c>
      <c r="AB20" t="str">
        <f t="shared" ca="1" si="12"/>
        <v/>
      </c>
      <c r="AC20" t="str">
        <f>IFERROR(INDEX('Bibliothèque MP INRA'!$R:$R,MATCH($A20,'Bibliothèque MP INRA'!$C:$C,0)),"")</f>
        <v/>
      </c>
      <c r="AD20" t="str">
        <f t="shared" si="13"/>
        <v/>
      </c>
      <c r="AE20" t="str">
        <f>IFERROR(INDEX('Bibliothèque MP INRA'!$Q:$Q,MATCH($A20,'Bibliothèque MP INRA'!$C:$C,0)),"")</f>
        <v/>
      </c>
      <c r="AF20" t="str">
        <f t="shared" si="14"/>
        <v/>
      </c>
      <c r="AG20" t="str">
        <f ca="1">IFERROR(XLOOKUP($A20,'Bibliothèque MP INRA'!$C:$C,'Bibliothèque MP INRA'!$B:$B),"")</f>
        <v/>
      </c>
      <c r="AH20" t="str">
        <f t="shared" ca="1" si="15"/>
        <v/>
      </c>
      <c r="AI20" t="str">
        <f>IFERROR(INDEX('Bibliothèque MP INRA'!$S:$S,MATCH($A20,'Bibliothèque MP INRA'!$C:$C,0)),"")</f>
        <v/>
      </c>
      <c r="AJ20" t="str">
        <f t="shared" si="16"/>
        <v/>
      </c>
    </row>
    <row r="21" spans="3:36" x14ac:dyDescent="0.35">
      <c r="C21" t="str">
        <f>IFERROR(INDEX('Bibliothèque MP INRA'!$D:$D,MATCH($A21,'Bibliothèque MP INRA'!$C:$C,0)),"")</f>
        <v/>
      </c>
      <c r="D21" t="str">
        <f t="shared" si="0"/>
        <v/>
      </c>
      <c r="E21" t="str">
        <f>IFERROR(INDEX('Bibliothèque MP INRA'!$E:$E,MATCH($A21,'Bibliothèque MP INRA'!$C:$C,0)),"")</f>
        <v/>
      </c>
      <c r="F21" t="str">
        <f t="shared" si="1"/>
        <v/>
      </c>
      <c r="G21" t="str">
        <f>IFERROR(INDEX('Bibliothèque MP INRA'!$I:$I,MATCH($A21,'Bibliothèque MP INRA'!$C:$C,0)),"")</f>
        <v/>
      </c>
      <c r="H21" t="str">
        <f t="shared" si="2"/>
        <v/>
      </c>
      <c r="I21" t="str">
        <f>IFERROR(INDEX('Bibliothèque MP INRA'!$G:$G,MATCH($A21,'Bibliothèque MP INRA'!$C:$C,0)),"")</f>
        <v/>
      </c>
      <c r="J21" t="str">
        <f t="shared" si="3"/>
        <v/>
      </c>
      <c r="K21" t="str">
        <f>IFERROR(INDEX('Bibliothèque MP INRA'!$H:$H,MATCH($A21,'Bibliothèque MP INRA'!$C:$C,0)),"")</f>
        <v/>
      </c>
      <c r="L21" t="str">
        <f t="shared" si="4"/>
        <v/>
      </c>
      <c r="M21" t="str">
        <f>IFERROR(INDEX('Bibliothèque MP INRA'!$J:$J,MATCH($A21,'Bibliothèque MP INRA'!$C:$C,0)),"")</f>
        <v/>
      </c>
      <c r="N21" t="str">
        <f t="shared" si="5"/>
        <v/>
      </c>
      <c r="O21" t="str">
        <f>IFERROR(INDEX('Bibliothèque MP INRA'!$K:$K,MATCH($A21,'Bibliothèque MP INRA'!$C:$C,0)),"")</f>
        <v/>
      </c>
      <c r="P21" t="str">
        <f t="shared" si="6"/>
        <v/>
      </c>
      <c r="Q21" t="str">
        <f>IFERROR(INDEX('Bibliothèque MP INRA'!$L:$L,MATCH($A21,'Bibliothèque MP INRA'!$C:$C,0)),"")</f>
        <v/>
      </c>
      <c r="R21" t="str">
        <f t="shared" si="7"/>
        <v/>
      </c>
      <c r="S21" t="str">
        <f>IFERROR(INDEX('Bibliothèque MP INRA'!$M:$M,MATCH($A21,'Bibliothèque MP INRA'!$C:$C,0)),"")</f>
        <v/>
      </c>
      <c r="T21" t="str">
        <f t="shared" si="8"/>
        <v/>
      </c>
      <c r="U21" t="str">
        <f>IFERROR(INDEX('Bibliothèque MP INRA'!$N:$N,MATCH($A21,'Bibliothèque MP INRA'!$C:$C,0)),"")</f>
        <v/>
      </c>
      <c r="V21" t="str">
        <f t="shared" si="9"/>
        <v/>
      </c>
      <c r="W21" t="str">
        <f>IFERROR(INDEX('Bibliothèque MP INRA'!$O:$O,MATCH($A21,'Bibliothèque MP INRA'!$C:$C,0)),"")</f>
        <v/>
      </c>
      <c r="X21" t="str">
        <f t="shared" si="10"/>
        <v/>
      </c>
      <c r="Y21" t="str">
        <f>IFERROR(INDEX('Bibliothèque MP INRA'!$P:$P,MATCH($A21,'Bibliothèque MP INRA'!$C:$C,0)),"")</f>
        <v/>
      </c>
      <c r="Z21" t="str">
        <f t="shared" si="11"/>
        <v/>
      </c>
      <c r="AA21" t="str">
        <f ca="1">IFERROR(XLOOKUP($A21,'Bibliothèque MP INRA'!$C:$C,'Bibliothèque MP INRA'!$N:$N),"")</f>
        <v/>
      </c>
      <c r="AB21" t="str">
        <f t="shared" ca="1" si="12"/>
        <v/>
      </c>
      <c r="AC21" t="str">
        <f>IFERROR(INDEX('Bibliothèque MP INRA'!$R:$R,MATCH($A21,'Bibliothèque MP INRA'!$C:$C,0)),"")</f>
        <v/>
      </c>
      <c r="AD21" t="str">
        <f t="shared" si="13"/>
        <v/>
      </c>
      <c r="AE21" t="str">
        <f>IFERROR(INDEX('Bibliothèque MP INRA'!$Q:$Q,MATCH($A21,'Bibliothèque MP INRA'!$C:$C,0)),"")</f>
        <v/>
      </c>
      <c r="AF21" t="str">
        <f t="shared" si="14"/>
        <v/>
      </c>
      <c r="AG21" t="str">
        <f ca="1">IFERROR(XLOOKUP($A21,'Bibliothèque MP INRA'!$C:$C,'Bibliothèque MP INRA'!$B:$B),"")</f>
        <v/>
      </c>
      <c r="AH21" t="str">
        <f t="shared" ca="1" si="15"/>
        <v/>
      </c>
      <c r="AI21" t="str">
        <f>IFERROR(INDEX('Bibliothèque MP INRA'!$S:$S,MATCH($A21,'Bibliothèque MP INRA'!$C:$C,0)),"")</f>
        <v/>
      </c>
      <c r="AJ21" t="str">
        <f t="shared" si="16"/>
        <v/>
      </c>
    </row>
    <row r="22" spans="3:36" x14ac:dyDescent="0.35">
      <c r="C22" t="str">
        <f>IFERROR(INDEX('Bibliothèque MP INRA'!$D:$D,MATCH($A22,'Bibliothèque MP INRA'!$C:$C,0)),"")</f>
        <v/>
      </c>
      <c r="D22" t="str">
        <f t="shared" si="0"/>
        <v/>
      </c>
      <c r="E22" t="str">
        <f>IFERROR(INDEX('Bibliothèque MP INRA'!$E:$E,MATCH($A22,'Bibliothèque MP INRA'!$C:$C,0)),"")</f>
        <v/>
      </c>
      <c r="F22" t="str">
        <f t="shared" si="1"/>
        <v/>
      </c>
      <c r="G22" t="str">
        <f>IFERROR(INDEX('Bibliothèque MP INRA'!$I:$I,MATCH($A22,'Bibliothèque MP INRA'!$C:$C,0)),"")</f>
        <v/>
      </c>
      <c r="H22" t="str">
        <f t="shared" si="2"/>
        <v/>
      </c>
      <c r="I22" t="str">
        <f>IFERROR(INDEX('Bibliothèque MP INRA'!$G:$G,MATCH($A22,'Bibliothèque MP INRA'!$C:$C,0)),"")</f>
        <v/>
      </c>
      <c r="J22" t="str">
        <f t="shared" si="3"/>
        <v/>
      </c>
      <c r="K22" t="str">
        <f>IFERROR(INDEX('Bibliothèque MP INRA'!$H:$H,MATCH($A22,'Bibliothèque MP INRA'!$C:$C,0)),"")</f>
        <v/>
      </c>
      <c r="L22" t="str">
        <f t="shared" si="4"/>
        <v/>
      </c>
      <c r="M22" t="str">
        <f>IFERROR(INDEX('Bibliothèque MP INRA'!$J:$J,MATCH($A22,'Bibliothèque MP INRA'!$C:$C,0)),"")</f>
        <v/>
      </c>
      <c r="N22" t="str">
        <f t="shared" si="5"/>
        <v/>
      </c>
      <c r="O22" t="str">
        <f>IFERROR(INDEX('Bibliothèque MP INRA'!$K:$K,MATCH($A22,'Bibliothèque MP INRA'!$C:$C,0)),"")</f>
        <v/>
      </c>
      <c r="P22" t="str">
        <f t="shared" si="6"/>
        <v/>
      </c>
      <c r="Q22" t="str">
        <f>IFERROR(INDEX('Bibliothèque MP INRA'!$L:$L,MATCH($A22,'Bibliothèque MP INRA'!$C:$C,0)),"")</f>
        <v/>
      </c>
      <c r="R22" t="str">
        <f t="shared" si="7"/>
        <v/>
      </c>
      <c r="S22" t="str">
        <f>IFERROR(INDEX('Bibliothèque MP INRA'!$M:$M,MATCH($A22,'Bibliothèque MP INRA'!$C:$C,0)),"")</f>
        <v/>
      </c>
      <c r="T22" t="str">
        <f t="shared" si="8"/>
        <v/>
      </c>
      <c r="U22" t="str">
        <f>IFERROR(INDEX('Bibliothèque MP INRA'!$N:$N,MATCH($A22,'Bibliothèque MP INRA'!$C:$C,0)),"")</f>
        <v/>
      </c>
      <c r="V22" t="str">
        <f t="shared" si="9"/>
        <v/>
      </c>
      <c r="W22" t="str">
        <f>IFERROR(INDEX('Bibliothèque MP INRA'!$O:$O,MATCH($A22,'Bibliothèque MP INRA'!$C:$C,0)),"")</f>
        <v/>
      </c>
      <c r="X22" t="str">
        <f t="shared" si="10"/>
        <v/>
      </c>
      <c r="Y22" t="str">
        <f>IFERROR(INDEX('Bibliothèque MP INRA'!$P:$P,MATCH($A22,'Bibliothèque MP INRA'!$C:$C,0)),"")</f>
        <v/>
      </c>
      <c r="Z22" t="str">
        <f t="shared" si="11"/>
        <v/>
      </c>
      <c r="AA22" t="str">
        <f ca="1">IFERROR(XLOOKUP($A22,'Bibliothèque MP INRA'!$C:$C,'Bibliothèque MP INRA'!$N:$N),"")</f>
        <v/>
      </c>
      <c r="AB22" t="str">
        <f t="shared" ca="1" si="12"/>
        <v/>
      </c>
      <c r="AC22" t="str">
        <f>IFERROR(INDEX('Bibliothèque MP INRA'!$R:$R,MATCH($A22,'Bibliothèque MP INRA'!$C:$C,0)),"")</f>
        <v/>
      </c>
      <c r="AD22" t="str">
        <f t="shared" si="13"/>
        <v/>
      </c>
      <c r="AE22" t="str">
        <f>IFERROR(INDEX('Bibliothèque MP INRA'!$Q:$Q,MATCH($A22,'Bibliothèque MP INRA'!$C:$C,0)),"")</f>
        <v/>
      </c>
      <c r="AF22" t="str">
        <f t="shared" si="14"/>
        <v/>
      </c>
      <c r="AG22" t="str">
        <f ca="1">IFERROR(XLOOKUP($A22,'Bibliothèque MP INRA'!$C:$C,'Bibliothèque MP INRA'!$B:$B),"")</f>
        <v/>
      </c>
      <c r="AH22" t="str">
        <f t="shared" ca="1" si="15"/>
        <v/>
      </c>
      <c r="AI22" t="str">
        <f>IFERROR(INDEX('Bibliothèque MP INRA'!$S:$S,MATCH($A22,'Bibliothèque MP INRA'!$C:$C,0)),"")</f>
        <v/>
      </c>
      <c r="AJ22" t="str">
        <f t="shared" si="16"/>
        <v/>
      </c>
    </row>
    <row r="23" spans="3:36" x14ac:dyDescent="0.35">
      <c r="C23" t="str">
        <f>IFERROR(INDEX('Bibliothèque MP INRA'!$D:$D,MATCH($A23,'Bibliothèque MP INRA'!$C:$C,0)),"")</f>
        <v/>
      </c>
      <c r="D23" t="str">
        <f t="shared" si="0"/>
        <v/>
      </c>
      <c r="E23" t="str">
        <f>IFERROR(INDEX('Bibliothèque MP INRA'!$E:$E,MATCH($A23,'Bibliothèque MP INRA'!$C:$C,0)),"")</f>
        <v/>
      </c>
      <c r="F23" t="str">
        <f t="shared" si="1"/>
        <v/>
      </c>
      <c r="G23" t="str">
        <f>IFERROR(INDEX('Bibliothèque MP INRA'!$I:$I,MATCH($A23,'Bibliothèque MP INRA'!$C:$C,0)),"")</f>
        <v/>
      </c>
      <c r="H23" t="str">
        <f t="shared" si="2"/>
        <v/>
      </c>
      <c r="I23" t="str">
        <f>IFERROR(INDEX('Bibliothèque MP INRA'!$G:$G,MATCH($A23,'Bibliothèque MP INRA'!$C:$C,0)),"")</f>
        <v/>
      </c>
      <c r="J23" t="str">
        <f t="shared" si="3"/>
        <v/>
      </c>
      <c r="K23" t="str">
        <f>IFERROR(INDEX('Bibliothèque MP INRA'!$H:$H,MATCH($A23,'Bibliothèque MP INRA'!$C:$C,0)),"")</f>
        <v/>
      </c>
      <c r="L23" t="str">
        <f t="shared" si="4"/>
        <v/>
      </c>
      <c r="M23" t="str">
        <f>IFERROR(INDEX('Bibliothèque MP INRA'!$J:$J,MATCH($A23,'Bibliothèque MP INRA'!$C:$C,0)),"")</f>
        <v/>
      </c>
      <c r="N23" t="str">
        <f t="shared" si="5"/>
        <v/>
      </c>
      <c r="O23" t="str">
        <f>IFERROR(INDEX('Bibliothèque MP INRA'!$K:$K,MATCH($A23,'Bibliothèque MP INRA'!$C:$C,0)),"")</f>
        <v/>
      </c>
      <c r="P23" t="str">
        <f t="shared" si="6"/>
        <v/>
      </c>
      <c r="Q23" t="str">
        <f>IFERROR(INDEX('Bibliothèque MP INRA'!$L:$L,MATCH($A23,'Bibliothèque MP INRA'!$C:$C,0)),"")</f>
        <v/>
      </c>
      <c r="R23" t="str">
        <f t="shared" si="7"/>
        <v/>
      </c>
      <c r="S23" t="str">
        <f>IFERROR(INDEX('Bibliothèque MP INRA'!$M:$M,MATCH($A23,'Bibliothèque MP INRA'!$C:$C,0)),"")</f>
        <v/>
      </c>
      <c r="T23" t="str">
        <f t="shared" si="8"/>
        <v/>
      </c>
      <c r="U23" t="str">
        <f>IFERROR(INDEX('Bibliothèque MP INRA'!$N:$N,MATCH($A23,'Bibliothèque MP INRA'!$C:$C,0)),"")</f>
        <v/>
      </c>
      <c r="V23" t="str">
        <f t="shared" si="9"/>
        <v/>
      </c>
      <c r="W23" t="str">
        <f>IFERROR(INDEX('Bibliothèque MP INRA'!$O:$O,MATCH($A23,'Bibliothèque MP INRA'!$C:$C,0)),"")</f>
        <v/>
      </c>
      <c r="X23" t="str">
        <f t="shared" si="10"/>
        <v/>
      </c>
      <c r="Y23" t="str">
        <f>IFERROR(INDEX('Bibliothèque MP INRA'!$P:$P,MATCH($A23,'Bibliothèque MP INRA'!$C:$C,0)),"")</f>
        <v/>
      </c>
      <c r="Z23" t="str">
        <f t="shared" si="11"/>
        <v/>
      </c>
      <c r="AA23" t="str">
        <f ca="1">IFERROR(XLOOKUP($A23,'Bibliothèque MP INRA'!$C:$C,'Bibliothèque MP INRA'!$N:$N),"")</f>
        <v/>
      </c>
      <c r="AB23" t="str">
        <f t="shared" ca="1" si="12"/>
        <v/>
      </c>
      <c r="AC23" t="str">
        <f>IFERROR(INDEX('Bibliothèque MP INRA'!$R:$R,MATCH($A23,'Bibliothèque MP INRA'!$C:$C,0)),"")</f>
        <v/>
      </c>
      <c r="AD23" t="str">
        <f t="shared" si="13"/>
        <v/>
      </c>
      <c r="AE23" t="str">
        <f>IFERROR(INDEX('Bibliothèque MP INRA'!$Q:$Q,MATCH($A23,'Bibliothèque MP INRA'!$C:$C,0)),"")</f>
        <v/>
      </c>
      <c r="AF23" t="str">
        <f t="shared" si="14"/>
        <v/>
      </c>
      <c r="AG23" t="str">
        <f ca="1">IFERROR(XLOOKUP($A23,'Bibliothèque MP INRA'!$C:$C,'Bibliothèque MP INRA'!$B:$B),"")</f>
        <v/>
      </c>
      <c r="AH23" t="str">
        <f t="shared" ca="1" si="15"/>
        <v/>
      </c>
      <c r="AI23" t="str">
        <f>IFERROR(INDEX('Bibliothèque MP INRA'!$S:$S,MATCH($A23,'Bibliothèque MP INRA'!$C:$C,0)),"")</f>
        <v/>
      </c>
      <c r="AJ23" t="str">
        <f t="shared" si="16"/>
        <v/>
      </c>
    </row>
    <row r="24" spans="3:36" x14ac:dyDescent="0.35">
      <c r="C24" t="str">
        <f>IFERROR(INDEX('Bibliothèque MP INRA'!$D:$D,MATCH($A24,'Bibliothèque MP INRA'!$C:$C,0)),"")</f>
        <v/>
      </c>
      <c r="D24" t="str">
        <f t="shared" si="0"/>
        <v/>
      </c>
      <c r="E24" t="str">
        <f>IFERROR(INDEX('Bibliothèque MP INRA'!$E:$E,MATCH($A24,'Bibliothèque MP INRA'!$C:$C,0)),"")</f>
        <v/>
      </c>
      <c r="F24" t="str">
        <f t="shared" si="1"/>
        <v/>
      </c>
      <c r="G24" t="str">
        <f>IFERROR(INDEX('Bibliothèque MP INRA'!$I:$I,MATCH($A24,'Bibliothèque MP INRA'!$C:$C,0)),"")</f>
        <v/>
      </c>
      <c r="H24" t="str">
        <f t="shared" si="2"/>
        <v/>
      </c>
      <c r="I24" t="str">
        <f>IFERROR(INDEX('Bibliothèque MP INRA'!$G:$G,MATCH($A24,'Bibliothèque MP INRA'!$C:$C,0)),"")</f>
        <v/>
      </c>
      <c r="J24" t="str">
        <f t="shared" si="3"/>
        <v/>
      </c>
      <c r="K24" t="str">
        <f>IFERROR(INDEX('Bibliothèque MP INRA'!$H:$H,MATCH($A24,'Bibliothèque MP INRA'!$C:$C,0)),"")</f>
        <v/>
      </c>
      <c r="L24" t="str">
        <f t="shared" si="4"/>
        <v/>
      </c>
      <c r="M24" t="str">
        <f>IFERROR(INDEX('Bibliothèque MP INRA'!$J:$J,MATCH($A24,'Bibliothèque MP INRA'!$C:$C,0)),"")</f>
        <v/>
      </c>
      <c r="N24" t="str">
        <f t="shared" si="5"/>
        <v/>
      </c>
      <c r="O24" t="str">
        <f>IFERROR(INDEX('Bibliothèque MP INRA'!$K:$K,MATCH($A24,'Bibliothèque MP INRA'!$C:$C,0)),"")</f>
        <v/>
      </c>
      <c r="P24" t="str">
        <f t="shared" si="6"/>
        <v/>
      </c>
      <c r="Q24" t="str">
        <f>IFERROR(INDEX('Bibliothèque MP INRA'!$L:$L,MATCH($A24,'Bibliothèque MP INRA'!$C:$C,0)),"")</f>
        <v/>
      </c>
      <c r="R24" t="str">
        <f t="shared" si="7"/>
        <v/>
      </c>
      <c r="S24" t="str">
        <f>IFERROR(INDEX('Bibliothèque MP INRA'!$M:$M,MATCH($A24,'Bibliothèque MP INRA'!$C:$C,0)),"")</f>
        <v/>
      </c>
      <c r="T24" t="str">
        <f t="shared" si="8"/>
        <v/>
      </c>
      <c r="U24" t="str">
        <f>IFERROR(INDEX('Bibliothèque MP INRA'!$N:$N,MATCH($A24,'Bibliothèque MP INRA'!$C:$C,0)),"")</f>
        <v/>
      </c>
      <c r="V24" t="str">
        <f t="shared" si="9"/>
        <v/>
      </c>
      <c r="W24" t="str">
        <f>IFERROR(INDEX('Bibliothèque MP INRA'!$O:$O,MATCH($A24,'Bibliothèque MP INRA'!$C:$C,0)),"")</f>
        <v/>
      </c>
      <c r="X24" t="str">
        <f t="shared" si="10"/>
        <v/>
      </c>
      <c r="Y24" t="str">
        <f>IFERROR(INDEX('Bibliothèque MP INRA'!$P:$P,MATCH($A24,'Bibliothèque MP INRA'!$C:$C,0)),"")</f>
        <v/>
      </c>
      <c r="Z24" t="str">
        <f t="shared" si="11"/>
        <v/>
      </c>
      <c r="AA24" t="str">
        <f ca="1">IFERROR(XLOOKUP($A24,'Bibliothèque MP INRA'!$C:$C,'Bibliothèque MP INRA'!$N:$N),"")</f>
        <v/>
      </c>
      <c r="AB24" t="str">
        <f t="shared" ca="1" si="12"/>
        <v/>
      </c>
      <c r="AC24" t="str">
        <f>IFERROR(INDEX('Bibliothèque MP INRA'!$R:$R,MATCH($A24,'Bibliothèque MP INRA'!$C:$C,0)),"")</f>
        <v/>
      </c>
      <c r="AD24" t="str">
        <f t="shared" si="13"/>
        <v/>
      </c>
      <c r="AE24" t="str">
        <f>IFERROR(INDEX('Bibliothèque MP INRA'!$Q:$Q,MATCH($A24,'Bibliothèque MP INRA'!$C:$C,0)),"")</f>
        <v/>
      </c>
      <c r="AF24" t="str">
        <f t="shared" si="14"/>
        <v/>
      </c>
      <c r="AG24" t="str">
        <f ca="1">IFERROR(XLOOKUP($A24,'Bibliothèque MP INRA'!$C:$C,'Bibliothèque MP INRA'!$B:$B),"")</f>
        <v/>
      </c>
      <c r="AH24" t="str">
        <f t="shared" ca="1" si="15"/>
        <v/>
      </c>
      <c r="AI24" t="str">
        <f>IFERROR(INDEX('Bibliothèque MP INRA'!$S:$S,MATCH($A24,'Bibliothèque MP INRA'!$C:$C,0)),"")</f>
        <v/>
      </c>
      <c r="AJ24" t="str">
        <f t="shared" si="16"/>
        <v/>
      </c>
    </row>
    <row r="25" spans="3:36" x14ac:dyDescent="0.35">
      <c r="C25" t="str">
        <f>IFERROR(INDEX('Bibliothèque MP INRA'!$D:$D,MATCH($A25,'Bibliothèque MP INRA'!$C:$C,0)),"")</f>
        <v/>
      </c>
      <c r="D25" t="str">
        <f t="shared" si="0"/>
        <v/>
      </c>
      <c r="E25" t="str">
        <f>IFERROR(INDEX('Bibliothèque MP INRA'!$E:$E,MATCH($A25,'Bibliothèque MP INRA'!$C:$C,0)),"")</f>
        <v/>
      </c>
      <c r="F25" t="str">
        <f t="shared" si="1"/>
        <v/>
      </c>
      <c r="G25" t="str">
        <f>IFERROR(INDEX('Bibliothèque MP INRA'!$I:$I,MATCH($A25,'Bibliothèque MP INRA'!$C:$C,0)),"")</f>
        <v/>
      </c>
      <c r="H25" t="str">
        <f t="shared" si="2"/>
        <v/>
      </c>
      <c r="I25" t="str">
        <f>IFERROR(INDEX('Bibliothèque MP INRA'!$G:$G,MATCH($A25,'Bibliothèque MP INRA'!$C:$C,0)),"")</f>
        <v/>
      </c>
      <c r="J25" t="str">
        <f t="shared" si="3"/>
        <v/>
      </c>
      <c r="K25" t="str">
        <f>IFERROR(INDEX('Bibliothèque MP INRA'!$H:$H,MATCH($A25,'Bibliothèque MP INRA'!$C:$C,0)),"")</f>
        <v/>
      </c>
      <c r="L25" t="str">
        <f t="shared" si="4"/>
        <v/>
      </c>
      <c r="M25" t="str">
        <f>IFERROR(INDEX('Bibliothèque MP INRA'!$J:$J,MATCH($A25,'Bibliothèque MP INRA'!$C:$C,0)),"")</f>
        <v/>
      </c>
      <c r="N25" t="str">
        <f t="shared" si="5"/>
        <v/>
      </c>
      <c r="O25" t="str">
        <f>IFERROR(INDEX('Bibliothèque MP INRA'!$K:$K,MATCH($A25,'Bibliothèque MP INRA'!$C:$C,0)),"")</f>
        <v/>
      </c>
      <c r="P25" t="str">
        <f t="shared" si="6"/>
        <v/>
      </c>
      <c r="Q25" t="str">
        <f>IFERROR(INDEX('Bibliothèque MP INRA'!$L:$L,MATCH($A25,'Bibliothèque MP INRA'!$C:$C,0)),"")</f>
        <v/>
      </c>
      <c r="R25" t="str">
        <f t="shared" si="7"/>
        <v/>
      </c>
      <c r="S25" t="str">
        <f>IFERROR(INDEX('Bibliothèque MP INRA'!$M:$M,MATCH($A25,'Bibliothèque MP INRA'!$C:$C,0)),"")</f>
        <v/>
      </c>
      <c r="T25" t="str">
        <f t="shared" si="8"/>
        <v/>
      </c>
      <c r="U25" t="str">
        <f>IFERROR(INDEX('Bibliothèque MP INRA'!$N:$N,MATCH($A25,'Bibliothèque MP INRA'!$C:$C,0)),"")</f>
        <v/>
      </c>
      <c r="V25" t="str">
        <f t="shared" si="9"/>
        <v/>
      </c>
      <c r="W25" t="str">
        <f>IFERROR(INDEX('Bibliothèque MP INRA'!$O:$O,MATCH($A25,'Bibliothèque MP INRA'!$C:$C,0)),"")</f>
        <v/>
      </c>
      <c r="X25" t="str">
        <f t="shared" si="10"/>
        <v/>
      </c>
      <c r="Y25" t="str">
        <f>IFERROR(INDEX('Bibliothèque MP INRA'!$P:$P,MATCH($A25,'Bibliothèque MP INRA'!$C:$C,0)),"")</f>
        <v/>
      </c>
      <c r="Z25" t="str">
        <f t="shared" si="11"/>
        <v/>
      </c>
      <c r="AA25" t="str">
        <f ca="1">IFERROR(XLOOKUP($A25,'Bibliothèque MP INRA'!$C:$C,'Bibliothèque MP INRA'!$N:$N),"")</f>
        <v/>
      </c>
      <c r="AB25" t="str">
        <f t="shared" ca="1" si="12"/>
        <v/>
      </c>
      <c r="AC25" t="str">
        <f>IFERROR(INDEX('Bibliothèque MP INRA'!$R:$R,MATCH($A25,'Bibliothèque MP INRA'!$C:$C,0)),"")</f>
        <v/>
      </c>
      <c r="AD25" t="str">
        <f t="shared" si="13"/>
        <v/>
      </c>
      <c r="AE25" t="str">
        <f>IFERROR(INDEX('Bibliothèque MP INRA'!$Q:$Q,MATCH($A25,'Bibliothèque MP INRA'!$C:$C,0)),"")</f>
        <v/>
      </c>
      <c r="AF25" t="str">
        <f t="shared" si="14"/>
        <v/>
      </c>
      <c r="AG25" t="str">
        <f ca="1">IFERROR(XLOOKUP($A25,'Bibliothèque MP INRA'!$C:$C,'Bibliothèque MP INRA'!$B:$B),"")</f>
        <v/>
      </c>
      <c r="AH25" t="str">
        <f t="shared" ca="1" si="15"/>
        <v/>
      </c>
      <c r="AI25" t="str">
        <f>IFERROR(INDEX('Bibliothèque MP INRA'!$S:$S,MATCH($A25,'Bibliothèque MP INRA'!$C:$C,0)),"")</f>
        <v/>
      </c>
      <c r="AJ25" t="str">
        <f t="shared" si="16"/>
        <v/>
      </c>
    </row>
    <row r="26" spans="3:36" x14ac:dyDescent="0.35">
      <c r="C26" t="str">
        <f>IFERROR(INDEX('Bibliothèque MP INRA'!$D:$D,MATCH($A26,'Bibliothèque MP INRA'!$C:$C,0)),"")</f>
        <v/>
      </c>
      <c r="D26" t="str">
        <f t="shared" si="0"/>
        <v/>
      </c>
      <c r="E26" t="str">
        <f>IFERROR(INDEX('Bibliothèque MP INRA'!$E:$E,MATCH($A26,'Bibliothèque MP INRA'!$C:$C,0)),"")</f>
        <v/>
      </c>
      <c r="F26" t="str">
        <f t="shared" si="1"/>
        <v/>
      </c>
      <c r="G26" t="str">
        <f>IFERROR(INDEX('Bibliothèque MP INRA'!$I:$I,MATCH($A26,'Bibliothèque MP INRA'!$C:$C,0)),"")</f>
        <v/>
      </c>
      <c r="H26" t="str">
        <f t="shared" si="2"/>
        <v/>
      </c>
      <c r="I26" t="str">
        <f>IFERROR(INDEX('Bibliothèque MP INRA'!$G:$G,MATCH($A26,'Bibliothèque MP INRA'!$C:$C,0)),"")</f>
        <v/>
      </c>
      <c r="J26" t="str">
        <f t="shared" si="3"/>
        <v/>
      </c>
      <c r="K26" t="str">
        <f>IFERROR(INDEX('Bibliothèque MP INRA'!$H:$H,MATCH($A26,'Bibliothèque MP INRA'!$C:$C,0)),"")</f>
        <v/>
      </c>
      <c r="L26" t="str">
        <f t="shared" si="4"/>
        <v/>
      </c>
      <c r="M26" t="str">
        <f>IFERROR(INDEX('Bibliothèque MP INRA'!$J:$J,MATCH($A26,'Bibliothèque MP INRA'!$C:$C,0)),"")</f>
        <v/>
      </c>
      <c r="N26" t="str">
        <f t="shared" si="5"/>
        <v/>
      </c>
      <c r="O26" t="str">
        <f>IFERROR(INDEX('Bibliothèque MP INRA'!$K:$K,MATCH($A26,'Bibliothèque MP INRA'!$C:$C,0)),"")</f>
        <v/>
      </c>
      <c r="P26" t="str">
        <f t="shared" si="6"/>
        <v/>
      </c>
      <c r="Q26" t="str">
        <f>IFERROR(INDEX('Bibliothèque MP INRA'!$L:$L,MATCH($A26,'Bibliothèque MP INRA'!$C:$C,0)),"")</f>
        <v/>
      </c>
      <c r="R26" t="str">
        <f t="shared" si="7"/>
        <v/>
      </c>
      <c r="S26" t="str">
        <f>IFERROR(INDEX('Bibliothèque MP INRA'!$M:$M,MATCH($A26,'Bibliothèque MP INRA'!$C:$C,0)),"")</f>
        <v/>
      </c>
      <c r="T26" t="str">
        <f t="shared" si="8"/>
        <v/>
      </c>
      <c r="U26" t="str">
        <f>IFERROR(INDEX('Bibliothèque MP INRA'!$N:$N,MATCH($A26,'Bibliothèque MP INRA'!$C:$C,0)),"")</f>
        <v/>
      </c>
      <c r="V26" t="str">
        <f t="shared" si="9"/>
        <v/>
      </c>
      <c r="W26" t="str">
        <f>IFERROR(INDEX('Bibliothèque MP INRA'!$O:$O,MATCH($A26,'Bibliothèque MP INRA'!$C:$C,0)),"")</f>
        <v/>
      </c>
      <c r="X26" t="str">
        <f t="shared" si="10"/>
        <v/>
      </c>
      <c r="Y26" t="str">
        <f>IFERROR(INDEX('Bibliothèque MP INRA'!$P:$P,MATCH($A26,'Bibliothèque MP INRA'!$C:$C,0)),"")</f>
        <v/>
      </c>
      <c r="Z26" t="str">
        <f t="shared" si="11"/>
        <v/>
      </c>
      <c r="AA26" t="str">
        <f ca="1">IFERROR(XLOOKUP($A26,'Bibliothèque MP INRA'!$C:$C,'Bibliothèque MP INRA'!$N:$N),"")</f>
        <v/>
      </c>
      <c r="AB26" t="str">
        <f t="shared" ca="1" si="12"/>
        <v/>
      </c>
      <c r="AC26" t="str">
        <f>IFERROR(INDEX('Bibliothèque MP INRA'!$R:$R,MATCH($A26,'Bibliothèque MP INRA'!$C:$C,0)),"")</f>
        <v/>
      </c>
      <c r="AD26" t="str">
        <f t="shared" si="13"/>
        <v/>
      </c>
      <c r="AE26" t="str">
        <f>IFERROR(INDEX('Bibliothèque MP INRA'!$Q:$Q,MATCH($A26,'Bibliothèque MP INRA'!$C:$C,0)),"")</f>
        <v/>
      </c>
      <c r="AF26" t="str">
        <f t="shared" si="14"/>
        <v/>
      </c>
      <c r="AG26" t="str">
        <f ca="1">IFERROR(XLOOKUP($A26,'Bibliothèque MP INRA'!$C:$C,'Bibliothèque MP INRA'!$B:$B),"")</f>
        <v/>
      </c>
      <c r="AH26" t="str">
        <f t="shared" ca="1" si="15"/>
        <v/>
      </c>
      <c r="AI26" t="str">
        <f>IFERROR(INDEX('Bibliothèque MP INRA'!$S:$S,MATCH($A26,'Bibliothèque MP INRA'!$C:$C,0)),"")</f>
        <v/>
      </c>
      <c r="AJ26" t="str">
        <f t="shared" si="16"/>
        <v/>
      </c>
    </row>
    <row r="27" spans="3:36" x14ac:dyDescent="0.35">
      <c r="C27" t="str">
        <f>IFERROR(INDEX('Bibliothèque MP INRA'!$D:$D,MATCH($A27,'Bibliothèque MP INRA'!$C:$C,0)),"")</f>
        <v/>
      </c>
      <c r="D27" t="str">
        <f t="shared" si="0"/>
        <v/>
      </c>
      <c r="E27" t="str">
        <f>IFERROR(INDEX('Bibliothèque MP INRA'!$E:$E,MATCH($A27,'Bibliothèque MP INRA'!$C:$C,0)),"")</f>
        <v/>
      </c>
      <c r="F27" t="str">
        <f t="shared" si="1"/>
        <v/>
      </c>
      <c r="G27" t="str">
        <f>IFERROR(INDEX('Bibliothèque MP INRA'!$I:$I,MATCH($A27,'Bibliothèque MP INRA'!$C:$C,0)),"")</f>
        <v/>
      </c>
      <c r="H27" t="str">
        <f t="shared" si="2"/>
        <v/>
      </c>
      <c r="I27" t="str">
        <f>IFERROR(INDEX('Bibliothèque MP INRA'!$G:$G,MATCH($A27,'Bibliothèque MP INRA'!$C:$C,0)),"")</f>
        <v/>
      </c>
      <c r="J27" t="str">
        <f t="shared" si="3"/>
        <v/>
      </c>
      <c r="K27" t="str">
        <f>IFERROR(INDEX('Bibliothèque MP INRA'!$H:$H,MATCH($A27,'Bibliothèque MP INRA'!$C:$C,0)),"")</f>
        <v/>
      </c>
      <c r="L27" t="str">
        <f t="shared" si="4"/>
        <v/>
      </c>
      <c r="M27" t="str">
        <f>IFERROR(INDEX('Bibliothèque MP INRA'!$J:$J,MATCH($A27,'Bibliothèque MP INRA'!$C:$C,0)),"")</f>
        <v/>
      </c>
      <c r="N27" t="str">
        <f t="shared" si="5"/>
        <v/>
      </c>
      <c r="O27" t="str">
        <f>IFERROR(INDEX('Bibliothèque MP INRA'!$K:$K,MATCH($A27,'Bibliothèque MP INRA'!$C:$C,0)),"")</f>
        <v/>
      </c>
      <c r="P27" t="str">
        <f t="shared" si="6"/>
        <v/>
      </c>
      <c r="Q27" t="str">
        <f>IFERROR(INDEX('Bibliothèque MP INRA'!$L:$L,MATCH($A27,'Bibliothèque MP INRA'!$C:$C,0)),"")</f>
        <v/>
      </c>
      <c r="R27" t="str">
        <f t="shared" si="7"/>
        <v/>
      </c>
      <c r="S27" t="str">
        <f>IFERROR(INDEX('Bibliothèque MP INRA'!$M:$M,MATCH($A27,'Bibliothèque MP INRA'!$C:$C,0)),"")</f>
        <v/>
      </c>
      <c r="T27" t="str">
        <f t="shared" si="8"/>
        <v/>
      </c>
      <c r="U27" t="str">
        <f>IFERROR(INDEX('Bibliothèque MP INRA'!$N:$N,MATCH($A27,'Bibliothèque MP INRA'!$C:$C,0)),"")</f>
        <v/>
      </c>
      <c r="V27" t="str">
        <f t="shared" si="9"/>
        <v/>
      </c>
      <c r="W27" t="str">
        <f>IFERROR(INDEX('Bibliothèque MP INRA'!$O:$O,MATCH($A27,'Bibliothèque MP INRA'!$C:$C,0)),"")</f>
        <v/>
      </c>
      <c r="X27" t="str">
        <f t="shared" si="10"/>
        <v/>
      </c>
      <c r="Y27" t="str">
        <f>IFERROR(INDEX('Bibliothèque MP INRA'!$P:$P,MATCH($A27,'Bibliothèque MP INRA'!$C:$C,0)),"")</f>
        <v/>
      </c>
      <c r="Z27" t="str">
        <f t="shared" si="11"/>
        <v/>
      </c>
      <c r="AA27" t="str">
        <f ca="1">IFERROR(XLOOKUP($A27,'Bibliothèque MP INRA'!$C:$C,'Bibliothèque MP INRA'!$N:$N),"")</f>
        <v/>
      </c>
      <c r="AB27" t="str">
        <f t="shared" ca="1" si="12"/>
        <v/>
      </c>
      <c r="AC27" t="str">
        <f>IFERROR(INDEX('Bibliothèque MP INRA'!$R:$R,MATCH($A27,'Bibliothèque MP INRA'!$C:$C,0)),"")</f>
        <v/>
      </c>
      <c r="AD27" t="str">
        <f t="shared" si="13"/>
        <v/>
      </c>
      <c r="AE27" t="str">
        <f>IFERROR(INDEX('Bibliothèque MP INRA'!$Q:$Q,MATCH($A27,'Bibliothèque MP INRA'!$C:$C,0)),"")</f>
        <v/>
      </c>
      <c r="AF27" t="str">
        <f t="shared" si="14"/>
        <v/>
      </c>
      <c r="AG27" t="str">
        <f ca="1">IFERROR(XLOOKUP($A27,'Bibliothèque MP INRA'!$C:$C,'Bibliothèque MP INRA'!$B:$B),"")</f>
        <v/>
      </c>
      <c r="AH27" t="str">
        <f t="shared" ca="1" si="15"/>
        <v/>
      </c>
      <c r="AI27" t="str">
        <f>IFERROR(INDEX('Bibliothèque MP INRA'!$S:$S,MATCH($A27,'Bibliothèque MP INRA'!$C:$C,0)),"")</f>
        <v/>
      </c>
      <c r="AJ27" t="str">
        <f t="shared" si="16"/>
        <v/>
      </c>
    </row>
    <row r="28" spans="3:36" x14ac:dyDescent="0.35">
      <c r="C28" t="str">
        <f>IFERROR(INDEX('Bibliothèque MP INRA'!$D:$D,MATCH($A28,'Bibliothèque MP INRA'!$C:$C,0)),"")</f>
        <v/>
      </c>
      <c r="D28" t="str">
        <f t="shared" si="0"/>
        <v/>
      </c>
      <c r="E28" t="str">
        <f>IFERROR(INDEX('Bibliothèque MP INRA'!$E:$E,MATCH($A28,'Bibliothèque MP INRA'!$C:$C,0)),"")</f>
        <v/>
      </c>
      <c r="F28" t="str">
        <f t="shared" si="1"/>
        <v/>
      </c>
      <c r="G28" t="str">
        <f>IFERROR(INDEX('Bibliothèque MP INRA'!$I:$I,MATCH($A28,'Bibliothèque MP INRA'!$C:$C,0)),"")</f>
        <v/>
      </c>
      <c r="H28" t="str">
        <f t="shared" si="2"/>
        <v/>
      </c>
      <c r="I28" t="str">
        <f>IFERROR(INDEX('Bibliothèque MP INRA'!$G:$G,MATCH($A28,'Bibliothèque MP INRA'!$C:$C,0)),"")</f>
        <v/>
      </c>
      <c r="J28" t="str">
        <f t="shared" si="3"/>
        <v/>
      </c>
      <c r="K28" t="str">
        <f>IFERROR(INDEX('Bibliothèque MP INRA'!$H:$H,MATCH($A28,'Bibliothèque MP INRA'!$C:$C,0)),"")</f>
        <v/>
      </c>
      <c r="L28" t="str">
        <f t="shared" si="4"/>
        <v/>
      </c>
      <c r="M28" t="str">
        <f>IFERROR(INDEX('Bibliothèque MP INRA'!$J:$J,MATCH($A28,'Bibliothèque MP INRA'!$C:$C,0)),"")</f>
        <v/>
      </c>
      <c r="N28" t="str">
        <f t="shared" si="5"/>
        <v/>
      </c>
      <c r="O28" t="str">
        <f>IFERROR(INDEX('Bibliothèque MP INRA'!$K:$K,MATCH($A28,'Bibliothèque MP INRA'!$C:$C,0)),"")</f>
        <v/>
      </c>
      <c r="P28" t="str">
        <f t="shared" si="6"/>
        <v/>
      </c>
      <c r="Q28" t="str">
        <f>IFERROR(INDEX('Bibliothèque MP INRA'!$L:$L,MATCH($A28,'Bibliothèque MP INRA'!$C:$C,0)),"")</f>
        <v/>
      </c>
      <c r="R28" t="str">
        <f t="shared" si="7"/>
        <v/>
      </c>
      <c r="S28" t="str">
        <f>IFERROR(INDEX('Bibliothèque MP INRA'!$M:$M,MATCH($A28,'Bibliothèque MP INRA'!$C:$C,0)),"")</f>
        <v/>
      </c>
      <c r="T28" t="str">
        <f t="shared" si="8"/>
        <v/>
      </c>
      <c r="U28" t="str">
        <f>IFERROR(INDEX('Bibliothèque MP INRA'!$N:$N,MATCH($A28,'Bibliothèque MP INRA'!$C:$C,0)),"")</f>
        <v/>
      </c>
      <c r="V28" t="str">
        <f t="shared" si="9"/>
        <v/>
      </c>
      <c r="W28" t="str">
        <f>IFERROR(INDEX('Bibliothèque MP INRA'!$O:$O,MATCH($A28,'Bibliothèque MP INRA'!$C:$C,0)),"")</f>
        <v/>
      </c>
      <c r="X28" t="str">
        <f t="shared" si="10"/>
        <v/>
      </c>
      <c r="Y28" t="str">
        <f>IFERROR(INDEX('Bibliothèque MP INRA'!$P:$P,MATCH($A28,'Bibliothèque MP INRA'!$C:$C,0)),"")</f>
        <v/>
      </c>
      <c r="Z28" t="str">
        <f t="shared" si="11"/>
        <v/>
      </c>
      <c r="AA28" t="str">
        <f ca="1">IFERROR(XLOOKUP($A28,'Bibliothèque MP INRA'!$C:$C,'Bibliothèque MP INRA'!$N:$N),"")</f>
        <v/>
      </c>
      <c r="AB28" t="str">
        <f t="shared" ca="1" si="12"/>
        <v/>
      </c>
      <c r="AC28" t="str">
        <f>IFERROR(INDEX('Bibliothèque MP INRA'!$R:$R,MATCH($A28,'Bibliothèque MP INRA'!$C:$C,0)),"")</f>
        <v/>
      </c>
      <c r="AD28" t="str">
        <f t="shared" si="13"/>
        <v/>
      </c>
      <c r="AE28" t="str">
        <f>IFERROR(INDEX('Bibliothèque MP INRA'!$Q:$Q,MATCH($A28,'Bibliothèque MP INRA'!$C:$C,0)),"")</f>
        <v/>
      </c>
      <c r="AF28" t="str">
        <f t="shared" si="14"/>
        <v/>
      </c>
      <c r="AG28" t="str">
        <f ca="1">IFERROR(XLOOKUP($A28,'Bibliothèque MP INRA'!$C:$C,'Bibliothèque MP INRA'!$B:$B),"")</f>
        <v/>
      </c>
      <c r="AH28" t="str">
        <f t="shared" ca="1" si="15"/>
        <v/>
      </c>
      <c r="AI28" t="str">
        <f>IFERROR(INDEX('Bibliothèque MP INRA'!$S:$S,MATCH($A28,'Bibliothèque MP INRA'!$C:$C,0)),"")</f>
        <v/>
      </c>
      <c r="AJ28" t="str">
        <f t="shared" si="16"/>
        <v/>
      </c>
    </row>
    <row r="29" spans="3:36" x14ac:dyDescent="0.35">
      <c r="C29" t="str">
        <f>IFERROR(INDEX('Bibliothèque MP INRA'!$D:$D,MATCH($A29,'Bibliothèque MP INRA'!$C:$C,0)),"")</f>
        <v/>
      </c>
      <c r="D29" t="str">
        <f t="shared" si="0"/>
        <v/>
      </c>
      <c r="E29" t="str">
        <f>IFERROR(INDEX('Bibliothèque MP INRA'!$E:$E,MATCH($A29,'Bibliothèque MP INRA'!$C:$C,0)),"")</f>
        <v/>
      </c>
      <c r="F29" t="str">
        <f t="shared" si="1"/>
        <v/>
      </c>
      <c r="G29" t="str">
        <f>IFERROR(INDEX('Bibliothèque MP INRA'!$I:$I,MATCH($A29,'Bibliothèque MP INRA'!$C:$C,0)),"")</f>
        <v/>
      </c>
      <c r="H29" t="str">
        <f t="shared" si="2"/>
        <v/>
      </c>
      <c r="I29" t="str">
        <f>IFERROR(INDEX('Bibliothèque MP INRA'!$G:$G,MATCH($A29,'Bibliothèque MP INRA'!$C:$C,0)),"")</f>
        <v/>
      </c>
      <c r="J29" t="str">
        <f t="shared" si="3"/>
        <v/>
      </c>
      <c r="K29" t="str">
        <f>IFERROR(INDEX('Bibliothèque MP INRA'!$H:$H,MATCH($A29,'Bibliothèque MP INRA'!$C:$C,0)),"")</f>
        <v/>
      </c>
      <c r="L29" t="str">
        <f t="shared" si="4"/>
        <v/>
      </c>
      <c r="M29" t="str">
        <f>IFERROR(INDEX('Bibliothèque MP INRA'!$J:$J,MATCH($A29,'Bibliothèque MP INRA'!$C:$C,0)),"")</f>
        <v/>
      </c>
      <c r="N29" t="str">
        <f t="shared" si="5"/>
        <v/>
      </c>
      <c r="O29" t="str">
        <f>IFERROR(INDEX('Bibliothèque MP INRA'!$K:$K,MATCH($A29,'Bibliothèque MP INRA'!$C:$C,0)),"")</f>
        <v/>
      </c>
      <c r="P29" t="str">
        <f t="shared" si="6"/>
        <v/>
      </c>
      <c r="Q29" t="str">
        <f>IFERROR(INDEX('Bibliothèque MP INRA'!$L:$L,MATCH($A29,'Bibliothèque MP INRA'!$C:$C,0)),"")</f>
        <v/>
      </c>
      <c r="R29" t="str">
        <f t="shared" si="7"/>
        <v/>
      </c>
      <c r="S29" t="str">
        <f>IFERROR(INDEX('Bibliothèque MP INRA'!$M:$M,MATCH($A29,'Bibliothèque MP INRA'!$C:$C,0)),"")</f>
        <v/>
      </c>
      <c r="T29" t="str">
        <f t="shared" si="8"/>
        <v/>
      </c>
      <c r="U29" t="str">
        <f>IFERROR(INDEX('Bibliothèque MP INRA'!$N:$N,MATCH($A29,'Bibliothèque MP INRA'!$C:$C,0)),"")</f>
        <v/>
      </c>
      <c r="V29" t="str">
        <f t="shared" si="9"/>
        <v/>
      </c>
      <c r="W29" t="str">
        <f>IFERROR(INDEX('Bibliothèque MP INRA'!$O:$O,MATCH($A29,'Bibliothèque MP INRA'!$C:$C,0)),"")</f>
        <v/>
      </c>
      <c r="X29" t="str">
        <f t="shared" si="10"/>
        <v/>
      </c>
      <c r="Y29" t="str">
        <f>IFERROR(INDEX('Bibliothèque MP INRA'!$P:$P,MATCH($A29,'Bibliothèque MP INRA'!$C:$C,0)),"")</f>
        <v/>
      </c>
      <c r="Z29" t="str">
        <f t="shared" si="11"/>
        <v/>
      </c>
      <c r="AA29" t="str">
        <f ca="1">IFERROR(XLOOKUP($A29,'Bibliothèque MP INRA'!$C:$C,'Bibliothèque MP INRA'!$N:$N),"")</f>
        <v/>
      </c>
      <c r="AB29" t="str">
        <f t="shared" ca="1" si="12"/>
        <v/>
      </c>
      <c r="AC29" t="str">
        <f>IFERROR(INDEX('Bibliothèque MP INRA'!$R:$R,MATCH($A29,'Bibliothèque MP INRA'!$C:$C,0)),"")</f>
        <v/>
      </c>
      <c r="AD29" t="str">
        <f t="shared" si="13"/>
        <v/>
      </c>
      <c r="AE29" t="str">
        <f>IFERROR(INDEX('Bibliothèque MP INRA'!$Q:$Q,MATCH($A29,'Bibliothèque MP INRA'!$C:$C,0)),"")</f>
        <v/>
      </c>
      <c r="AF29" t="str">
        <f t="shared" si="14"/>
        <v/>
      </c>
      <c r="AG29" t="str">
        <f ca="1">IFERROR(XLOOKUP($A29,'Bibliothèque MP INRA'!$C:$C,'Bibliothèque MP INRA'!$B:$B),"")</f>
        <v/>
      </c>
      <c r="AH29" t="str">
        <f t="shared" ca="1" si="15"/>
        <v/>
      </c>
      <c r="AI29" t="str">
        <f>IFERROR(INDEX('Bibliothèque MP INRA'!$S:$S,MATCH($A29,'Bibliothèque MP INRA'!$C:$C,0)),"")</f>
        <v/>
      </c>
      <c r="AJ29" t="str">
        <f t="shared" si="16"/>
        <v/>
      </c>
    </row>
    <row r="30" spans="3:36" x14ac:dyDescent="0.35">
      <c r="C30" t="str">
        <f>IFERROR(INDEX('Bibliothèque MP INRA'!$D:$D,MATCH($A30,'Bibliothèque MP INRA'!$C:$C,0)),"")</f>
        <v/>
      </c>
      <c r="D30" t="str">
        <f t="shared" si="0"/>
        <v/>
      </c>
      <c r="E30" t="str">
        <f>IFERROR(INDEX('Bibliothèque MP INRA'!$E:$E,MATCH($A30,'Bibliothèque MP INRA'!$C:$C,0)),"")</f>
        <v/>
      </c>
      <c r="F30" t="str">
        <f t="shared" si="1"/>
        <v/>
      </c>
      <c r="G30" t="str">
        <f>IFERROR(INDEX('Bibliothèque MP INRA'!$I:$I,MATCH($A30,'Bibliothèque MP INRA'!$C:$C,0)),"")</f>
        <v/>
      </c>
      <c r="H30" t="str">
        <f t="shared" si="2"/>
        <v/>
      </c>
      <c r="I30" t="str">
        <f>IFERROR(INDEX('Bibliothèque MP INRA'!$G:$G,MATCH($A30,'Bibliothèque MP INRA'!$C:$C,0)),"")</f>
        <v/>
      </c>
      <c r="J30" t="str">
        <f t="shared" si="3"/>
        <v/>
      </c>
      <c r="K30" t="str">
        <f>IFERROR(INDEX('Bibliothèque MP INRA'!$H:$H,MATCH($A30,'Bibliothèque MP INRA'!$C:$C,0)),"")</f>
        <v/>
      </c>
      <c r="L30" t="str">
        <f t="shared" si="4"/>
        <v/>
      </c>
      <c r="M30" t="str">
        <f>IFERROR(INDEX('Bibliothèque MP INRA'!$J:$J,MATCH($A30,'Bibliothèque MP INRA'!$C:$C,0)),"")</f>
        <v/>
      </c>
      <c r="N30" t="str">
        <f t="shared" si="5"/>
        <v/>
      </c>
      <c r="O30" t="str">
        <f>IFERROR(INDEX('Bibliothèque MP INRA'!$K:$K,MATCH($A30,'Bibliothèque MP INRA'!$C:$C,0)),"")</f>
        <v/>
      </c>
      <c r="P30" t="str">
        <f t="shared" si="6"/>
        <v/>
      </c>
      <c r="Q30" t="str">
        <f>IFERROR(INDEX('Bibliothèque MP INRA'!$L:$L,MATCH($A30,'Bibliothèque MP INRA'!$C:$C,0)),"")</f>
        <v/>
      </c>
      <c r="R30" t="str">
        <f t="shared" si="7"/>
        <v/>
      </c>
      <c r="S30" t="str">
        <f>IFERROR(INDEX('Bibliothèque MP INRA'!$M:$M,MATCH($A30,'Bibliothèque MP INRA'!$C:$C,0)),"")</f>
        <v/>
      </c>
      <c r="T30" t="str">
        <f t="shared" si="8"/>
        <v/>
      </c>
      <c r="U30" t="str">
        <f>IFERROR(INDEX('Bibliothèque MP INRA'!$N:$N,MATCH($A30,'Bibliothèque MP INRA'!$C:$C,0)),"")</f>
        <v/>
      </c>
      <c r="V30" t="str">
        <f t="shared" si="9"/>
        <v/>
      </c>
      <c r="W30" t="str">
        <f>IFERROR(INDEX('Bibliothèque MP INRA'!$O:$O,MATCH($A30,'Bibliothèque MP INRA'!$C:$C,0)),"")</f>
        <v/>
      </c>
      <c r="X30" t="str">
        <f t="shared" si="10"/>
        <v/>
      </c>
      <c r="Y30" t="str">
        <f>IFERROR(INDEX('Bibliothèque MP INRA'!$P:$P,MATCH($A30,'Bibliothèque MP INRA'!$C:$C,0)),"")</f>
        <v/>
      </c>
      <c r="Z30" t="str">
        <f t="shared" si="11"/>
        <v/>
      </c>
      <c r="AA30" t="str">
        <f ca="1">IFERROR(XLOOKUP($A30,'Bibliothèque MP INRA'!$C:$C,'Bibliothèque MP INRA'!$N:$N),"")</f>
        <v/>
      </c>
      <c r="AB30" t="str">
        <f t="shared" ca="1" si="12"/>
        <v/>
      </c>
      <c r="AC30" t="str">
        <f>IFERROR(INDEX('Bibliothèque MP INRA'!$R:$R,MATCH($A30,'Bibliothèque MP INRA'!$C:$C,0)),"")</f>
        <v/>
      </c>
      <c r="AD30" t="str">
        <f t="shared" si="13"/>
        <v/>
      </c>
      <c r="AE30" t="str">
        <f>IFERROR(INDEX('Bibliothèque MP INRA'!$Q:$Q,MATCH($A30,'Bibliothèque MP INRA'!$C:$C,0)),"")</f>
        <v/>
      </c>
      <c r="AF30" t="str">
        <f t="shared" si="14"/>
        <v/>
      </c>
      <c r="AG30" t="str">
        <f ca="1">IFERROR(XLOOKUP($A30,'Bibliothèque MP INRA'!$C:$C,'Bibliothèque MP INRA'!$B:$B),"")</f>
        <v/>
      </c>
      <c r="AH30" t="str">
        <f t="shared" ca="1" si="15"/>
        <v/>
      </c>
      <c r="AI30" t="str">
        <f>IFERROR(INDEX('Bibliothèque MP INRA'!$S:$S,MATCH($A30,'Bibliothèque MP INRA'!$C:$C,0)),"")</f>
        <v/>
      </c>
      <c r="AJ30" t="str">
        <f t="shared" si="16"/>
        <v/>
      </c>
    </row>
    <row r="31" spans="3:36" x14ac:dyDescent="0.35">
      <c r="C31" t="str">
        <f>IFERROR(INDEX('Bibliothèque MP INRA'!$D:$D,MATCH($A31,'Bibliothèque MP INRA'!$C:$C,0)),"")</f>
        <v/>
      </c>
      <c r="D31" t="str">
        <f t="shared" si="0"/>
        <v/>
      </c>
      <c r="E31" t="str">
        <f>IFERROR(INDEX('Bibliothèque MP INRA'!$E:$E,MATCH($A31,'Bibliothèque MP INRA'!$C:$C,0)),"")</f>
        <v/>
      </c>
      <c r="F31" t="str">
        <f t="shared" si="1"/>
        <v/>
      </c>
      <c r="G31" t="str">
        <f>IFERROR(INDEX('Bibliothèque MP INRA'!$I:$I,MATCH($A31,'Bibliothèque MP INRA'!$C:$C,0)),"")</f>
        <v/>
      </c>
      <c r="H31" t="str">
        <f t="shared" si="2"/>
        <v/>
      </c>
      <c r="I31" t="str">
        <f>IFERROR(INDEX('Bibliothèque MP INRA'!$G:$G,MATCH($A31,'Bibliothèque MP INRA'!$C:$C,0)),"")</f>
        <v/>
      </c>
      <c r="J31" t="str">
        <f t="shared" si="3"/>
        <v/>
      </c>
      <c r="K31" t="str">
        <f>IFERROR(INDEX('Bibliothèque MP INRA'!$H:$H,MATCH($A31,'Bibliothèque MP INRA'!$C:$C,0)),"")</f>
        <v/>
      </c>
      <c r="L31" t="str">
        <f t="shared" si="4"/>
        <v/>
      </c>
      <c r="M31" t="str">
        <f>IFERROR(INDEX('Bibliothèque MP INRA'!$J:$J,MATCH($A31,'Bibliothèque MP INRA'!$C:$C,0)),"")</f>
        <v/>
      </c>
      <c r="N31" t="str">
        <f t="shared" si="5"/>
        <v/>
      </c>
      <c r="O31" t="str">
        <f>IFERROR(INDEX('Bibliothèque MP INRA'!$K:$K,MATCH($A31,'Bibliothèque MP INRA'!$C:$C,0)),"")</f>
        <v/>
      </c>
      <c r="P31" t="str">
        <f t="shared" si="6"/>
        <v/>
      </c>
      <c r="Q31" t="str">
        <f>IFERROR(INDEX('Bibliothèque MP INRA'!$L:$L,MATCH($A31,'Bibliothèque MP INRA'!$C:$C,0)),"")</f>
        <v/>
      </c>
      <c r="R31" t="str">
        <f t="shared" si="7"/>
        <v/>
      </c>
      <c r="S31" t="str">
        <f>IFERROR(INDEX('Bibliothèque MP INRA'!$M:$M,MATCH($A31,'Bibliothèque MP INRA'!$C:$C,0)),"")</f>
        <v/>
      </c>
      <c r="T31" t="str">
        <f t="shared" si="8"/>
        <v/>
      </c>
      <c r="U31" t="str">
        <f>IFERROR(INDEX('Bibliothèque MP INRA'!$N:$N,MATCH($A31,'Bibliothèque MP INRA'!$C:$C,0)),"")</f>
        <v/>
      </c>
      <c r="V31" t="str">
        <f t="shared" si="9"/>
        <v/>
      </c>
      <c r="W31" t="str">
        <f>IFERROR(INDEX('Bibliothèque MP INRA'!$O:$O,MATCH($A31,'Bibliothèque MP INRA'!$C:$C,0)),"")</f>
        <v/>
      </c>
      <c r="X31" t="str">
        <f t="shared" si="10"/>
        <v/>
      </c>
      <c r="Y31" t="str">
        <f>IFERROR(INDEX('Bibliothèque MP INRA'!$P:$P,MATCH($A31,'Bibliothèque MP INRA'!$C:$C,0)),"")</f>
        <v/>
      </c>
      <c r="Z31" t="str">
        <f t="shared" si="11"/>
        <v/>
      </c>
      <c r="AA31" t="str">
        <f ca="1">IFERROR(XLOOKUP($A31,'Bibliothèque MP INRA'!$C:$C,'Bibliothèque MP INRA'!$N:$N),"")</f>
        <v/>
      </c>
      <c r="AB31" t="str">
        <f t="shared" ca="1" si="12"/>
        <v/>
      </c>
      <c r="AC31" t="str">
        <f>IFERROR(INDEX('Bibliothèque MP INRA'!$R:$R,MATCH($A31,'Bibliothèque MP INRA'!$C:$C,0)),"")</f>
        <v/>
      </c>
      <c r="AD31" t="str">
        <f t="shared" si="13"/>
        <v/>
      </c>
      <c r="AE31" t="str">
        <f>IFERROR(INDEX('Bibliothèque MP INRA'!$Q:$Q,MATCH($A31,'Bibliothèque MP INRA'!$C:$C,0)),"")</f>
        <v/>
      </c>
      <c r="AF31" t="str">
        <f t="shared" si="14"/>
        <v/>
      </c>
      <c r="AG31" t="str">
        <f ca="1">IFERROR(XLOOKUP($A31,'Bibliothèque MP INRA'!$C:$C,'Bibliothèque MP INRA'!$B:$B),"")</f>
        <v/>
      </c>
      <c r="AH31" t="str">
        <f t="shared" ca="1" si="15"/>
        <v/>
      </c>
      <c r="AI31" t="str">
        <f>IFERROR(INDEX('Bibliothèque MP INRA'!$S:$S,MATCH($A31,'Bibliothèque MP INRA'!$C:$C,0)),"")</f>
        <v/>
      </c>
      <c r="AJ31" t="str">
        <f t="shared" si="16"/>
        <v/>
      </c>
    </row>
    <row r="32" spans="3:36" x14ac:dyDescent="0.35">
      <c r="C32" t="str">
        <f>IFERROR(INDEX('Bibliothèque MP INRA'!$D:$D,MATCH($A32,'Bibliothèque MP INRA'!$C:$C,0)),"")</f>
        <v/>
      </c>
      <c r="D32" t="str">
        <f t="shared" si="0"/>
        <v/>
      </c>
      <c r="E32" t="str">
        <f>IFERROR(INDEX('Bibliothèque MP INRA'!$E:$E,MATCH($A32,'Bibliothèque MP INRA'!$C:$C,0)),"")</f>
        <v/>
      </c>
      <c r="F32" t="str">
        <f t="shared" si="1"/>
        <v/>
      </c>
      <c r="G32" t="str">
        <f>IFERROR(INDEX('Bibliothèque MP INRA'!$I:$I,MATCH($A32,'Bibliothèque MP INRA'!$C:$C,0)),"")</f>
        <v/>
      </c>
      <c r="H32" t="str">
        <f t="shared" si="2"/>
        <v/>
      </c>
      <c r="I32" t="str">
        <f>IFERROR(INDEX('Bibliothèque MP INRA'!$G:$G,MATCH($A32,'Bibliothèque MP INRA'!$C:$C,0)),"")</f>
        <v/>
      </c>
      <c r="J32" t="str">
        <f t="shared" si="3"/>
        <v/>
      </c>
      <c r="K32" t="str">
        <f>IFERROR(INDEX('Bibliothèque MP INRA'!$H:$H,MATCH($A32,'Bibliothèque MP INRA'!$C:$C,0)),"")</f>
        <v/>
      </c>
      <c r="L32" t="str">
        <f t="shared" si="4"/>
        <v/>
      </c>
      <c r="M32" t="str">
        <f>IFERROR(INDEX('Bibliothèque MP INRA'!$J:$J,MATCH($A32,'Bibliothèque MP INRA'!$C:$C,0)),"")</f>
        <v/>
      </c>
      <c r="N32" t="str">
        <f t="shared" si="5"/>
        <v/>
      </c>
      <c r="O32" t="str">
        <f>IFERROR(INDEX('Bibliothèque MP INRA'!$K:$K,MATCH($A32,'Bibliothèque MP INRA'!$C:$C,0)),"")</f>
        <v/>
      </c>
      <c r="P32" t="str">
        <f t="shared" si="6"/>
        <v/>
      </c>
      <c r="Q32" t="str">
        <f>IFERROR(INDEX('Bibliothèque MP INRA'!$L:$L,MATCH($A32,'Bibliothèque MP INRA'!$C:$C,0)),"")</f>
        <v/>
      </c>
      <c r="R32" t="str">
        <f t="shared" si="7"/>
        <v/>
      </c>
      <c r="S32" t="str">
        <f>IFERROR(INDEX('Bibliothèque MP INRA'!$M:$M,MATCH($A32,'Bibliothèque MP INRA'!$C:$C,0)),"")</f>
        <v/>
      </c>
      <c r="T32" t="str">
        <f t="shared" si="8"/>
        <v/>
      </c>
      <c r="U32" t="str">
        <f>IFERROR(INDEX('Bibliothèque MP INRA'!$N:$N,MATCH($A32,'Bibliothèque MP INRA'!$C:$C,0)),"")</f>
        <v/>
      </c>
      <c r="V32" t="str">
        <f t="shared" si="9"/>
        <v/>
      </c>
      <c r="W32" t="str">
        <f>IFERROR(INDEX('Bibliothèque MP INRA'!$O:$O,MATCH($A32,'Bibliothèque MP INRA'!$C:$C,0)),"")</f>
        <v/>
      </c>
      <c r="X32" t="str">
        <f t="shared" si="10"/>
        <v/>
      </c>
      <c r="Y32" t="str">
        <f>IFERROR(INDEX('Bibliothèque MP INRA'!$P:$P,MATCH($A32,'Bibliothèque MP INRA'!$C:$C,0)),"")</f>
        <v/>
      </c>
      <c r="Z32" t="str">
        <f t="shared" si="11"/>
        <v/>
      </c>
      <c r="AA32" t="str">
        <f ca="1">IFERROR(XLOOKUP($A32,'Bibliothèque MP INRA'!$C:$C,'Bibliothèque MP INRA'!$N:$N),"")</f>
        <v/>
      </c>
      <c r="AB32" t="str">
        <f t="shared" ca="1" si="12"/>
        <v/>
      </c>
      <c r="AC32" t="str">
        <f>IFERROR(INDEX('Bibliothèque MP INRA'!$R:$R,MATCH($A32,'Bibliothèque MP INRA'!$C:$C,0)),"")</f>
        <v/>
      </c>
      <c r="AD32" t="str">
        <f t="shared" si="13"/>
        <v/>
      </c>
      <c r="AE32" t="str">
        <f>IFERROR(INDEX('Bibliothèque MP INRA'!$Q:$Q,MATCH($A32,'Bibliothèque MP INRA'!$C:$C,0)),"")</f>
        <v/>
      </c>
      <c r="AF32" t="str">
        <f t="shared" si="14"/>
        <v/>
      </c>
      <c r="AG32" t="str">
        <f ca="1">IFERROR(XLOOKUP($A32,'Bibliothèque MP INRA'!$C:$C,'Bibliothèque MP INRA'!$B:$B),"")</f>
        <v/>
      </c>
      <c r="AH32" t="str">
        <f t="shared" ca="1" si="15"/>
        <v/>
      </c>
      <c r="AI32" t="str">
        <f>IFERROR(INDEX('Bibliothèque MP INRA'!$S:$S,MATCH($A32,'Bibliothèque MP INRA'!$C:$C,0)),"")</f>
        <v/>
      </c>
      <c r="AJ32" t="str">
        <f t="shared" si="16"/>
        <v/>
      </c>
    </row>
    <row r="33" spans="1:36" x14ac:dyDescent="0.35">
      <c r="C33" t="str">
        <f>IFERROR(INDEX('Bibliothèque MP INRA'!$D:$D,MATCH($A33,'Bibliothèque MP INRA'!$C:$C,0)),"")</f>
        <v/>
      </c>
      <c r="D33" t="str">
        <f t="shared" si="0"/>
        <v/>
      </c>
      <c r="E33" t="str">
        <f>IFERROR(INDEX('Bibliothèque MP INRA'!$E:$E,MATCH($A33,'Bibliothèque MP INRA'!$C:$C,0)),"")</f>
        <v/>
      </c>
      <c r="F33" t="str">
        <f t="shared" si="1"/>
        <v/>
      </c>
      <c r="G33" t="str">
        <f>IFERROR(INDEX('Bibliothèque MP INRA'!$I:$I,MATCH($A33,'Bibliothèque MP INRA'!$C:$C,0)),"")</f>
        <v/>
      </c>
      <c r="H33" t="str">
        <f t="shared" si="2"/>
        <v/>
      </c>
      <c r="I33" t="str">
        <f>IFERROR(INDEX('Bibliothèque MP INRA'!$G:$G,MATCH($A33,'Bibliothèque MP INRA'!$C:$C,0)),"")</f>
        <v/>
      </c>
      <c r="J33" t="str">
        <f t="shared" si="3"/>
        <v/>
      </c>
      <c r="K33" t="str">
        <f>IFERROR(INDEX('Bibliothèque MP INRA'!$H:$H,MATCH($A33,'Bibliothèque MP INRA'!$C:$C,0)),"")</f>
        <v/>
      </c>
      <c r="L33" t="str">
        <f t="shared" si="4"/>
        <v/>
      </c>
      <c r="M33" t="str">
        <f>IFERROR(INDEX('Bibliothèque MP INRA'!$J:$J,MATCH($A33,'Bibliothèque MP INRA'!$C:$C,0)),"")</f>
        <v/>
      </c>
      <c r="N33" t="str">
        <f t="shared" si="5"/>
        <v/>
      </c>
      <c r="O33" t="str">
        <f>IFERROR(INDEX('Bibliothèque MP INRA'!$K:$K,MATCH($A33,'Bibliothèque MP INRA'!$C:$C,0)),"")</f>
        <v/>
      </c>
      <c r="P33" t="str">
        <f t="shared" si="6"/>
        <v/>
      </c>
      <c r="Q33" t="str">
        <f>IFERROR(INDEX('Bibliothèque MP INRA'!$L:$L,MATCH($A33,'Bibliothèque MP INRA'!$C:$C,0)),"")</f>
        <v/>
      </c>
      <c r="R33" t="str">
        <f t="shared" si="7"/>
        <v/>
      </c>
      <c r="S33" t="str">
        <f>IFERROR(INDEX('Bibliothèque MP INRA'!$M:$M,MATCH($A33,'Bibliothèque MP INRA'!$C:$C,0)),"")</f>
        <v/>
      </c>
      <c r="T33" t="str">
        <f t="shared" si="8"/>
        <v/>
      </c>
      <c r="U33" t="str">
        <f>IFERROR(INDEX('Bibliothèque MP INRA'!$N:$N,MATCH($A33,'Bibliothèque MP INRA'!$C:$C,0)),"")</f>
        <v/>
      </c>
      <c r="V33" t="str">
        <f t="shared" si="9"/>
        <v/>
      </c>
      <c r="W33" t="str">
        <f>IFERROR(INDEX('Bibliothèque MP INRA'!$O:$O,MATCH($A33,'Bibliothèque MP INRA'!$C:$C,0)),"")</f>
        <v/>
      </c>
      <c r="X33" t="str">
        <f t="shared" si="10"/>
        <v/>
      </c>
      <c r="Y33" t="str">
        <f>IFERROR(INDEX('Bibliothèque MP INRA'!$P:$P,MATCH($A33,'Bibliothèque MP INRA'!$C:$C,0)),"")</f>
        <v/>
      </c>
      <c r="Z33" t="str">
        <f t="shared" si="11"/>
        <v/>
      </c>
      <c r="AA33" t="str">
        <f ca="1">IFERROR(XLOOKUP($A33,'Bibliothèque MP INRA'!$C:$C,'Bibliothèque MP INRA'!$N:$N),"")</f>
        <v/>
      </c>
      <c r="AB33" t="str">
        <f t="shared" ca="1" si="12"/>
        <v/>
      </c>
      <c r="AC33" t="str">
        <f>IFERROR(INDEX('Bibliothèque MP INRA'!$R:$R,MATCH($A33,'Bibliothèque MP INRA'!$C:$C,0)),"")</f>
        <v/>
      </c>
      <c r="AD33" t="str">
        <f t="shared" si="13"/>
        <v/>
      </c>
      <c r="AE33" t="str">
        <f>IFERROR(INDEX('Bibliothèque MP INRA'!$Q:$Q,MATCH($A33,'Bibliothèque MP INRA'!$C:$C,0)),"")</f>
        <v/>
      </c>
      <c r="AF33" t="str">
        <f t="shared" si="14"/>
        <v/>
      </c>
      <c r="AG33" t="str">
        <f ca="1">IFERROR(XLOOKUP($A33,'Bibliothèque MP INRA'!$C:$C,'Bibliothèque MP INRA'!$B:$B),"")</f>
        <v/>
      </c>
      <c r="AH33" t="str">
        <f t="shared" ca="1" si="15"/>
        <v/>
      </c>
      <c r="AI33" t="str">
        <f>IFERROR(INDEX('Bibliothèque MP INRA'!$S:$S,MATCH($A33,'Bibliothèque MP INRA'!$C:$C,0)),"")</f>
        <v/>
      </c>
      <c r="AJ33" t="str">
        <f t="shared" si="16"/>
        <v/>
      </c>
    </row>
    <row r="35" spans="1:36" x14ac:dyDescent="0.35">
      <c r="A35" s="5" t="s">
        <v>189</v>
      </c>
      <c r="C35">
        <f>IFERROR(AVERAGE(C4:C33),"")</f>
        <v>52</v>
      </c>
      <c r="D35">
        <f>SUM(D4:D33)</f>
        <v>11.870000000000001</v>
      </c>
      <c r="E35">
        <f>IFERROR(AVERAGE(E4:E33),"")</f>
        <v>0.71666666666666667</v>
      </c>
      <c r="F35">
        <f>SUM(F4:F33)</f>
        <v>8.8658999999999999</v>
      </c>
      <c r="G35">
        <f>IFERROR(AVERAGE(G4:G33),"")</f>
        <v>13</v>
      </c>
      <c r="H35">
        <f>SUM(H4:H33)</f>
        <v>1.9171</v>
      </c>
      <c r="I35">
        <f>IFERROR(AVERAGE(I4:I33),"")</f>
        <v>87.333333333333329</v>
      </c>
      <c r="J35">
        <f>SUM(J4:J33)</f>
        <v>1277.8399999999999</v>
      </c>
      <c r="K35">
        <f>IFERROR(AVERAGE(K4:K33),"")</f>
        <v>87.333333333333329</v>
      </c>
      <c r="L35">
        <f>SUM(L4:L33)</f>
        <v>1089.5500000000002</v>
      </c>
      <c r="M35">
        <f>IFERROR(AVERAGE(M4:M33),"")</f>
        <v>12.333333333333334</v>
      </c>
      <c r="N35">
        <f>SUM(N4:N33)</f>
        <v>0.72140000000000004</v>
      </c>
      <c r="O35">
        <f>IFERROR(AVERAGE(O4:O33),"")</f>
        <v>5</v>
      </c>
      <c r="P35">
        <f>SUM(P4:P33)</f>
        <v>0.74310000000000009</v>
      </c>
      <c r="Q35">
        <f>IFERROR(AVERAGE(Q4:Q33),"")</f>
        <v>40.666666666666664</v>
      </c>
      <c r="R35">
        <f>SUM(R4:R33)</f>
        <v>4.9154000000000009</v>
      </c>
      <c r="S35">
        <f>IFERROR(AVERAGE(S4:S33),"")</f>
        <v>26.666666666666668</v>
      </c>
      <c r="T35">
        <f>SUM(T4:T33)</f>
        <v>3.4118000000000004</v>
      </c>
      <c r="U35">
        <f>IFERROR(AVERAGE(U4:U33),"")</f>
        <v>2.5</v>
      </c>
      <c r="V35">
        <f>SUM(V4:V33)</f>
        <v>0.29459999999999997</v>
      </c>
      <c r="W35">
        <f>IFERROR(AVERAGE(W4:W33),"")</f>
        <v>0.6166666666666667</v>
      </c>
      <c r="X35">
        <f>SUM(X4:X33)</f>
        <v>0.12295000000000002</v>
      </c>
      <c r="Y35">
        <f>IFERROR(AVERAGE(Y4:Y33),"")</f>
        <v>0.22333333333333336</v>
      </c>
      <c r="Z35">
        <f>SUM(Z4:Z33)</f>
        <v>2.8404000000000002E-2</v>
      </c>
      <c r="AA35" t="str">
        <f ca="1">IFERROR(AVERAGE(AA4:AA33),"")</f>
        <v/>
      </c>
      <c r="AB35">
        <f ca="1">SUM(AB4:AB33)</f>
        <v>0</v>
      </c>
      <c r="AC35">
        <f>IFERROR(AVERAGE(AC4:AC33),"")</f>
        <v>2.6666666666666668E-2</v>
      </c>
      <c r="AD35">
        <f>SUM(AD4:AD33)</f>
        <v>3.4289999999999998E-3</v>
      </c>
      <c r="AE35">
        <f>IFERROR(AVERAGE(AE4:AE33),"")</f>
        <v>1.3666666666666665</v>
      </c>
      <c r="AF35">
        <f>SUM(AF4:AF33)</f>
        <v>0.20802000000000001</v>
      </c>
      <c r="AG35" t="str">
        <f ca="1">IFERROR(AVERAGE(AG4:AG33),"")</f>
        <v/>
      </c>
      <c r="AH35">
        <f ca="1">SUM(AH4:AH33)</f>
        <v>0</v>
      </c>
      <c r="AJ35">
        <f>SUM(AJ4:AJ33)</f>
        <v>0</v>
      </c>
    </row>
  </sheetData>
  <dataValidations count="1">
    <dataValidation type="list" allowBlank="1" sqref="A2:A80" xr:uid="{00000000-0002-0000-0700-000001000000}">
      <formula1>ListeMP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0000000}">
          <x14:formula1>
            <xm:f>'Bibliothèque MP INRA'!$C$2:$C$74</xm:f>
          </x14:formula1>
          <xm:sqref>A4:A33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2"/>
  <sheetViews>
    <sheetView topLeftCell="B1" workbookViewId="0">
      <selection activeCell="B10" sqref="B10"/>
    </sheetView>
  </sheetViews>
  <sheetFormatPr baseColWidth="10" defaultColWidth="8.7265625" defaultRowHeight="14.5" x14ac:dyDescent="0.35"/>
  <cols>
    <col min="1" max="4" width="28" customWidth="1"/>
  </cols>
  <sheetData>
    <row r="1" spans="1:4" x14ac:dyDescent="0.35">
      <c r="A1" s="8" t="s">
        <v>191</v>
      </c>
      <c r="B1" s="8" t="s">
        <v>218</v>
      </c>
      <c r="C1" s="8" t="s">
        <v>219</v>
      </c>
      <c r="D1" s="8" t="s">
        <v>220</v>
      </c>
    </row>
    <row r="2" spans="1:4" x14ac:dyDescent="0.35">
      <c r="A2" t="s">
        <v>221</v>
      </c>
      <c r="B2">
        <f>'Ration Formulation'!D35</f>
        <v>14.71</v>
      </c>
      <c r="C2">
        <f>'Ration Formulation 2'!D35</f>
        <v>11.870000000000001</v>
      </c>
      <c r="D2">
        <f t="shared" ref="D2:D12" si="0">C2-B2</f>
        <v>-2.84</v>
      </c>
    </row>
    <row r="3" spans="1:4" x14ac:dyDescent="0.35">
      <c r="A3" t="s">
        <v>222</v>
      </c>
      <c r="B3">
        <f>'Ration Formulation'!F35</f>
        <v>13.665600000000001</v>
      </c>
      <c r="C3">
        <f>'Ration Formulation 2'!F35</f>
        <v>8.8658999999999999</v>
      </c>
      <c r="D3">
        <f t="shared" si="0"/>
        <v>-4.7997000000000014</v>
      </c>
    </row>
    <row r="4" spans="1:4" x14ac:dyDescent="0.35">
      <c r="A4" t="s">
        <v>223</v>
      </c>
      <c r="B4">
        <f>'Ration Formulation'!J35</f>
        <v>1057.3399999999999</v>
      </c>
      <c r="C4">
        <f>'Ration Formulation 2'!J35</f>
        <v>1277.8399999999999</v>
      </c>
      <c r="D4">
        <f t="shared" si="0"/>
        <v>220.5</v>
      </c>
    </row>
    <row r="5" spans="1:4" x14ac:dyDescent="0.35">
      <c r="A5" t="s">
        <v>224</v>
      </c>
      <c r="B5">
        <f>'Ration Formulation'!L35</f>
        <v>1317.1599999999999</v>
      </c>
      <c r="C5">
        <f>'Ration Formulation 2'!L35</f>
        <v>1089.5500000000002</v>
      </c>
      <c r="D5">
        <f t="shared" si="0"/>
        <v>-227.60999999999967</v>
      </c>
    </row>
    <row r="6" spans="1:4" x14ac:dyDescent="0.35">
      <c r="A6" t="s">
        <v>225</v>
      </c>
      <c r="B6">
        <f>'Ration Formulation'!H35</f>
        <v>1.6514000000000002</v>
      </c>
      <c r="C6">
        <f>'Ration Formulation 2'!H35</f>
        <v>1.9171</v>
      </c>
      <c r="D6">
        <f t="shared" si="0"/>
        <v>0.26569999999999983</v>
      </c>
    </row>
    <row r="7" spans="1:4" x14ac:dyDescent="0.35">
      <c r="A7" t="s">
        <v>226</v>
      </c>
      <c r="B7">
        <f>'Ration Formulation'!N35</f>
        <v>4.4338000000000006</v>
      </c>
      <c r="C7">
        <f>'Ration Formulation 2'!N35</f>
        <v>0.72140000000000004</v>
      </c>
      <c r="D7">
        <f t="shared" si="0"/>
        <v>-3.7124000000000006</v>
      </c>
    </row>
    <row r="8" spans="1:4" x14ac:dyDescent="0.35">
      <c r="A8" t="s">
        <v>227</v>
      </c>
      <c r="B8">
        <f>'Ration Formulation'!R35</f>
        <v>5.0037999999999991</v>
      </c>
      <c r="C8">
        <f>'Ration Formulation 2'!R35</f>
        <v>4.9154000000000009</v>
      </c>
      <c r="D8">
        <f t="shared" si="0"/>
        <v>-8.8399999999998258E-2</v>
      </c>
    </row>
    <row r="9" spans="1:4" x14ac:dyDescent="0.35">
      <c r="A9" t="s">
        <v>228</v>
      </c>
      <c r="B9">
        <f>'Ration Formulation'!R43</f>
        <v>0</v>
      </c>
      <c r="C9">
        <f>'Ration Formulation 2'!R43</f>
        <v>0</v>
      </c>
      <c r="D9">
        <f t="shared" si="0"/>
        <v>0</v>
      </c>
    </row>
    <row r="10" spans="1:4" x14ac:dyDescent="0.35">
      <c r="A10" t="s">
        <v>229</v>
      </c>
      <c r="B10">
        <f>('Ration Formulation'!L43-5)/0.44</f>
        <v>-11.363636363636363</v>
      </c>
      <c r="C10">
        <f>('Ration Formulation 2'!L43-5)/0.44</f>
        <v>-11.363636363636363</v>
      </c>
      <c r="D10">
        <f t="shared" si="0"/>
        <v>0</v>
      </c>
    </row>
    <row r="11" spans="1:4" x14ac:dyDescent="0.35">
      <c r="A11" t="s">
        <v>230</v>
      </c>
      <c r="B11">
        <f>MIN('Ration Formulation'!M43,'Ration Formulation'!N43)/45</f>
        <v>0</v>
      </c>
      <c r="C11">
        <f>MIN('Ration Formulation 2'!M43,'Ration Formulation 2'!N43)/45</f>
        <v>0</v>
      </c>
      <c r="D11">
        <f t="shared" si="0"/>
        <v>0</v>
      </c>
    </row>
    <row r="12" spans="1:4" x14ac:dyDescent="0.35">
      <c r="A12" t="s">
        <v>231</v>
      </c>
      <c r="B12">
        <f>IF(B10=0,"",B9/B10)</f>
        <v>0</v>
      </c>
      <c r="C12">
        <f>IF(C10=0,"",C9/C10)</f>
        <v>0</v>
      </c>
      <c r="D12">
        <f t="shared" si="0"/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35"/>
  <sheetViews>
    <sheetView workbookViewId="0">
      <selection activeCell="A4" sqref="A4"/>
    </sheetView>
  </sheetViews>
  <sheetFormatPr baseColWidth="10" defaultColWidth="8.7265625" defaultRowHeight="14.5" x14ac:dyDescent="0.35"/>
  <cols>
    <col min="1" max="1" width="24" customWidth="1"/>
    <col min="2" max="2" width="18" customWidth="1"/>
    <col min="3" max="36" width="13" customWidth="1"/>
  </cols>
  <sheetData>
    <row r="1" spans="1:36" x14ac:dyDescent="0.35">
      <c r="A1" s="5" t="s">
        <v>232</v>
      </c>
    </row>
    <row r="3" spans="1:36" x14ac:dyDescent="0.35">
      <c r="A3" s="4" t="s">
        <v>31</v>
      </c>
      <c r="B3" s="4" t="s">
        <v>154</v>
      </c>
      <c r="C3" s="4" t="s">
        <v>155</v>
      </c>
      <c r="D3" s="4" t="s">
        <v>156</v>
      </c>
      <c r="E3" s="4" t="s">
        <v>157</v>
      </c>
      <c r="F3" s="4" t="s">
        <v>158</v>
      </c>
      <c r="G3" s="4" t="s">
        <v>159</v>
      </c>
      <c r="H3" s="4" t="s">
        <v>160</v>
      </c>
      <c r="I3" s="4" t="s">
        <v>161</v>
      </c>
      <c r="J3" s="4" t="s">
        <v>162</v>
      </c>
      <c r="K3" s="4" t="s">
        <v>163</v>
      </c>
      <c r="L3" s="4" t="s">
        <v>164</v>
      </c>
      <c r="M3" s="4" t="s">
        <v>165</v>
      </c>
      <c r="N3" s="4" t="s">
        <v>166</v>
      </c>
      <c r="O3" s="4" t="s">
        <v>167</v>
      </c>
      <c r="P3" s="4" t="s">
        <v>168</v>
      </c>
      <c r="Q3" s="4" t="s">
        <v>169</v>
      </c>
      <c r="R3" s="4" t="s">
        <v>170</v>
      </c>
      <c r="S3" s="4" t="s">
        <v>171</v>
      </c>
      <c r="T3" s="4" t="s">
        <v>172</v>
      </c>
      <c r="U3" s="4" t="s">
        <v>173</v>
      </c>
      <c r="V3" s="4" t="s">
        <v>174</v>
      </c>
      <c r="W3" s="4" t="s">
        <v>175</v>
      </c>
      <c r="X3" s="4" t="s">
        <v>176</v>
      </c>
      <c r="Y3" s="4" t="s">
        <v>177</v>
      </c>
      <c r="Z3" s="4" t="s">
        <v>178</v>
      </c>
      <c r="AA3" s="4" t="s">
        <v>179</v>
      </c>
      <c r="AB3" s="4" t="s">
        <v>180</v>
      </c>
      <c r="AC3" s="4" t="s">
        <v>181</v>
      </c>
      <c r="AD3" s="4" t="s">
        <v>182</v>
      </c>
      <c r="AE3" s="4" t="s">
        <v>183</v>
      </c>
      <c r="AF3" s="4" t="s">
        <v>184</v>
      </c>
      <c r="AG3" s="4" t="s">
        <v>185</v>
      </c>
      <c r="AH3" s="4" t="s">
        <v>186</v>
      </c>
      <c r="AI3" s="4" t="s">
        <v>187</v>
      </c>
      <c r="AJ3" s="4" t="s">
        <v>188</v>
      </c>
    </row>
    <row r="4" spans="1:36" x14ac:dyDescent="0.35">
      <c r="C4" t="str">
        <f>IFERROR(INDEX('Bibliothèque MP INRA'!$D:$D,MATCH($A4,'Bibliothèque MP INRA'!$C:$C,0)),"")</f>
        <v/>
      </c>
      <c r="D4" t="str">
        <f t="shared" ref="D4:D33" si="0">IFERROR($B4*C4/100,"")</f>
        <v/>
      </c>
      <c r="E4" t="str">
        <f>IFERROR(INDEX('Bibliothèque MP INRA'!$E:$E,MATCH($A4,'Bibliothèque MP INRA'!$C:$C,0)),"")</f>
        <v/>
      </c>
      <c r="F4" t="str">
        <f t="shared" ref="F4:F33" si="1">IFERROR(D4*E4,"")</f>
        <v/>
      </c>
      <c r="G4" t="str">
        <f>IFERROR(INDEX('Bibliothèque MP INRA'!$I:$I,MATCH($A4,'Bibliothèque MP INRA'!$C:$C,0)),"")</f>
        <v/>
      </c>
      <c r="H4" t="str">
        <f t="shared" ref="H4:H33" si="2">IFERROR(D4*G4/100,"")</f>
        <v/>
      </c>
      <c r="I4" t="str">
        <f>IFERROR(INDEX('Bibliothèque MP INRA'!$G:$G,MATCH($A4,'Bibliothèque MP INRA'!$C:$C,0)),"")</f>
        <v/>
      </c>
      <c r="J4" t="str">
        <f t="shared" ref="J4:J33" si="3">IFERROR(D4*I4,"")</f>
        <v/>
      </c>
      <c r="K4" t="str">
        <f>IFERROR(INDEX('Bibliothèque MP INRA'!$H:$H,MATCH($A4,'Bibliothèque MP INRA'!$C:$C,0)),"")</f>
        <v/>
      </c>
      <c r="L4" t="str">
        <f t="shared" ref="L4:L33" si="4">IFERROR(D4*K4,"")</f>
        <v/>
      </c>
      <c r="M4" t="str">
        <f>IFERROR(INDEX('Bibliothèque MP INRA'!$J:$J,MATCH($A4,'Bibliothèque MP INRA'!$C:$C,0)),"")</f>
        <v/>
      </c>
      <c r="N4" t="str">
        <f t="shared" ref="N4:N33" si="5">IFERROR(D4*M4/100,"")</f>
        <v/>
      </c>
      <c r="O4" t="str">
        <f>IFERROR(INDEX('Bibliothèque MP INRA'!$K:$K,MATCH($A4,'Bibliothèque MP INRA'!$C:$C,0)),"")</f>
        <v/>
      </c>
      <c r="P4" t="str">
        <f t="shared" ref="P4:P33" si="6">IFERROR(D4*O4/100,"")</f>
        <v/>
      </c>
      <c r="Q4" t="str">
        <f>IFERROR(INDEX('Bibliothèque MP INRA'!$L:$L,MATCH($A4,'Bibliothèque MP INRA'!$C:$C,0)),"")</f>
        <v/>
      </c>
      <c r="R4" t="str">
        <f t="shared" ref="R4:R33" si="7">IFERROR(D4*Q4/100,"")</f>
        <v/>
      </c>
      <c r="S4" t="str">
        <f>IFERROR(INDEX('Bibliothèque MP INRA'!$M:$M,MATCH($A4,'Bibliothèque MP INRA'!$C:$C,0)),"")</f>
        <v/>
      </c>
      <c r="T4" t="str">
        <f t="shared" ref="T4:T33" si="8">IFERROR(D4*S4/100,"")</f>
        <v/>
      </c>
      <c r="U4" t="str">
        <f>IFERROR(INDEX('Bibliothèque MP INRA'!$N:$N,MATCH($A4,'Bibliothèque MP INRA'!$C:$C,0)),"")</f>
        <v/>
      </c>
      <c r="V4" t="str">
        <f t="shared" ref="V4:V33" si="9">IFERROR(D4*U4/100,"")</f>
        <v/>
      </c>
      <c r="W4" t="str">
        <f>IFERROR(INDEX('Bibliothèque MP INRA'!$O:$O,MATCH($A4,'Bibliothèque MP INRA'!$C:$C,0)),"")</f>
        <v/>
      </c>
      <c r="X4" t="str">
        <f t="shared" ref="X4:X33" si="10">IFERROR(D4*W4/100,"")</f>
        <v/>
      </c>
      <c r="Y4" t="str">
        <f>IFERROR(INDEX('Bibliothèque MP INRA'!$P:$P,MATCH($A4,'Bibliothèque MP INRA'!$C:$C,0)),"")</f>
        <v/>
      </c>
      <c r="Z4" t="str">
        <f t="shared" ref="Z4:Z33" si="11">IFERROR(D4*Y4/100,"")</f>
        <v/>
      </c>
      <c r="AA4" t="str">
        <f ca="1">IFERROR(XLOOKUP($A4,'Bibliothèque MP INRA'!$C:$C,'Bibliothèque MP INRA'!$N:$N),"")</f>
        <v/>
      </c>
      <c r="AB4" t="str">
        <f t="shared" ref="AB4:AB33" ca="1" si="12">IFERROR(D4*AA4/100,"")</f>
        <v/>
      </c>
      <c r="AC4" t="str">
        <f>IFERROR(INDEX('Bibliothèque MP INRA'!$R:$R,MATCH($A4,'Bibliothèque MP INRA'!$C:$C,0)),"")</f>
        <v/>
      </c>
      <c r="AD4" t="str">
        <f t="shared" ref="AD4:AD33" si="13">IFERROR(D4*AC4/100,"")</f>
        <v/>
      </c>
      <c r="AE4" t="str">
        <f>IFERROR(INDEX('Bibliothèque MP INRA'!$Q:$Q,MATCH($A4,'Bibliothèque MP INRA'!$C:$C,0)),"")</f>
        <v/>
      </c>
      <c r="AF4" t="str">
        <f t="shared" ref="AF4:AF33" si="14">IFERROR(D4*AE4/100,"")</f>
        <v/>
      </c>
      <c r="AG4" t="str">
        <f ca="1">IFERROR(XLOOKUP($A4,'Bibliothèque MP INRA'!$C:$C,'Bibliothèque MP INRA'!$B:$B),"")</f>
        <v/>
      </c>
      <c r="AH4" t="str">
        <f t="shared" ref="AH4:AH33" ca="1" si="15">IFERROR(D4*AG4/100,"")</f>
        <v/>
      </c>
      <c r="AI4" t="str">
        <f>IFERROR(INDEX('Bibliothèque MP INRA'!$S:$S,MATCH($A4,'Bibliothèque MP INRA'!$C:$C,0)),"")</f>
        <v/>
      </c>
      <c r="AJ4" t="str">
        <f t="shared" ref="AJ4:AJ33" si="16">IFERROR($B4*AI4/1000,"")</f>
        <v/>
      </c>
    </row>
    <row r="5" spans="1:36" x14ac:dyDescent="0.35">
      <c r="C5" t="str">
        <f>IFERROR(INDEX('Bibliothèque MP INRA'!$D:$D,MATCH($A5,'Bibliothèque MP INRA'!$C:$C,0)),"")</f>
        <v/>
      </c>
      <c r="D5" t="str">
        <f t="shared" si="0"/>
        <v/>
      </c>
      <c r="E5" t="str">
        <f>IFERROR(INDEX('Bibliothèque MP INRA'!$E:$E,MATCH($A5,'Bibliothèque MP INRA'!$C:$C,0)),"")</f>
        <v/>
      </c>
      <c r="F5" t="str">
        <f t="shared" si="1"/>
        <v/>
      </c>
      <c r="G5" t="str">
        <f>IFERROR(INDEX('Bibliothèque MP INRA'!$I:$I,MATCH($A5,'Bibliothèque MP INRA'!$C:$C,0)),"")</f>
        <v/>
      </c>
      <c r="H5" t="str">
        <f t="shared" si="2"/>
        <v/>
      </c>
      <c r="I5" t="str">
        <f>IFERROR(INDEX('Bibliothèque MP INRA'!$G:$G,MATCH($A5,'Bibliothèque MP INRA'!$C:$C,0)),"")</f>
        <v/>
      </c>
      <c r="J5" t="str">
        <f t="shared" si="3"/>
        <v/>
      </c>
      <c r="K5" t="str">
        <f>IFERROR(INDEX('Bibliothèque MP INRA'!$H:$H,MATCH($A5,'Bibliothèque MP INRA'!$C:$C,0)),"")</f>
        <v/>
      </c>
      <c r="L5" t="str">
        <f t="shared" si="4"/>
        <v/>
      </c>
      <c r="M5" t="str">
        <f>IFERROR(INDEX('Bibliothèque MP INRA'!$J:$J,MATCH($A5,'Bibliothèque MP INRA'!$C:$C,0)),"")</f>
        <v/>
      </c>
      <c r="N5" t="str">
        <f t="shared" si="5"/>
        <v/>
      </c>
      <c r="O5" t="str">
        <f>IFERROR(INDEX('Bibliothèque MP INRA'!$K:$K,MATCH($A5,'Bibliothèque MP INRA'!$C:$C,0)),"")</f>
        <v/>
      </c>
      <c r="P5" t="str">
        <f t="shared" si="6"/>
        <v/>
      </c>
      <c r="Q5" t="str">
        <f>IFERROR(INDEX('Bibliothèque MP INRA'!$L:$L,MATCH($A5,'Bibliothèque MP INRA'!$C:$C,0)),"")</f>
        <v/>
      </c>
      <c r="R5" t="str">
        <f t="shared" si="7"/>
        <v/>
      </c>
      <c r="S5" t="str">
        <f>IFERROR(INDEX('Bibliothèque MP INRA'!$M:$M,MATCH($A5,'Bibliothèque MP INRA'!$C:$C,0)),"")</f>
        <v/>
      </c>
      <c r="T5" t="str">
        <f t="shared" si="8"/>
        <v/>
      </c>
      <c r="U5" t="str">
        <f>IFERROR(INDEX('Bibliothèque MP INRA'!$N:$N,MATCH($A5,'Bibliothèque MP INRA'!$C:$C,0)),"")</f>
        <v/>
      </c>
      <c r="V5" t="str">
        <f t="shared" si="9"/>
        <v/>
      </c>
      <c r="W5" t="str">
        <f>IFERROR(INDEX('Bibliothèque MP INRA'!$O:$O,MATCH($A5,'Bibliothèque MP INRA'!$C:$C,0)),"")</f>
        <v/>
      </c>
      <c r="X5" t="str">
        <f t="shared" si="10"/>
        <v/>
      </c>
      <c r="Y5" t="str">
        <f>IFERROR(INDEX('Bibliothèque MP INRA'!$P:$P,MATCH($A5,'Bibliothèque MP INRA'!$C:$C,0)),"")</f>
        <v/>
      </c>
      <c r="Z5" t="str">
        <f t="shared" si="11"/>
        <v/>
      </c>
      <c r="AA5" t="str">
        <f ca="1">IFERROR(XLOOKUP($A5,'Bibliothèque MP INRA'!$C:$C,'Bibliothèque MP INRA'!$N:$N),"")</f>
        <v/>
      </c>
      <c r="AB5" t="str">
        <f t="shared" ca="1" si="12"/>
        <v/>
      </c>
      <c r="AC5" t="str">
        <f>IFERROR(INDEX('Bibliothèque MP INRA'!$R:$R,MATCH($A5,'Bibliothèque MP INRA'!$C:$C,0)),"")</f>
        <v/>
      </c>
      <c r="AD5" t="str">
        <f t="shared" si="13"/>
        <v/>
      </c>
      <c r="AE5" t="str">
        <f>IFERROR(INDEX('Bibliothèque MP INRA'!$Q:$Q,MATCH($A5,'Bibliothèque MP INRA'!$C:$C,0)),"")</f>
        <v/>
      </c>
      <c r="AF5" t="str">
        <f t="shared" si="14"/>
        <v/>
      </c>
      <c r="AG5" t="str">
        <f ca="1">IFERROR(XLOOKUP($A5,'Bibliothèque MP INRA'!$C:$C,'Bibliothèque MP INRA'!$B:$B),"")</f>
        <v/>
      </c>
      <c r="AH5" t="str">
        <f t="shared" ca="1" si="15"/>
        <v/>
      </c>
      <c r="AI5" t="str">
        <f>IFERROR(INDEX('Bibliothèque MP INRA'!$S:$S,MATCH($A5,'Bibliothèque MP INRA'!$C:$C,0)),"")</f>
        <v/>
      </c>
      <c r="AJ5" t="str">
        <f t="shared" si="16"/>
        <v/>
      </c>
    </row>
    <row r="6" spans="1:36" x14ac:dyDescent="0.35">
      <c r="C6" t="str">
        <f>IFERROR(INDEX('Bibliothèque MP INRA'!$D:$D,MATCH($A6,'Bibliothèque MP INRA'!$C:$C,0)),"")</f>
        <v/>
      </c>
      <c r="D6" t="str">
        <f t="shared" si="0"/>
        <v/>
      </c>
      <c r="E6" t="str">
        <f>IFERROR(INDEX('Bibliothèque MP INRA'!$E:$E,MATCH($A6,'Bibliothèque MP INRA'!$C:$C,0)),"")</f>
        <v/>
      </c>
      <c r="F6" t="str">
        <f t="shared" si="1"/>
        <v/>
      </c>
      <c r="G6" t="str">
        <f>IFERROR(INDEX('Bibliothèque MP INRA'!$I:$I,MATCH($A6,'Bibliothèque MP INRA'!$C:$C,0)),"")</f>
        <v/>
      </c>
      <c r="H6" t="str">
        <f t="shared" si="2"/>
        <v/>
      </c>
      <c r="I6" t="str">
        <f>IFERROR(INDEX('Bibliothèque MP INRA'!$G:$G,MATCH($A6,'Bibliothèque MP INRA'!$C:$C,0)),"")</f>
        <v/>
      </c>
      <c r="J6" t="str">
        <f t="shared" si="3"/>
        <v/>
      </c>
      <c r="K6" t="str">
        <f>IFERROR(INDEX('Bibliothèque MP INRA'!$H:$H,MATCH($A6,'Bibliothèque MP INRA'!$C:$C,0)),"")</f>
        <v/>
      </c>
      <c r="L6" t="str">
        <f t="shared" si="4"/>
        <v/>
      </c>
      <c r="M6" t="str">
        <f>IFERROR(INDEX('Bibliothèque MP INRA'!$J:$J,MATCH($A6,'Bibliothèque MP INRA'!$C:$C,0)),"")</f>
        <v/>
      </c>
      <c r="N6" t="str">
        <f t="shared" si="5"/>
        <v/>
      </c>
      <c r="O6" t="str">
        <f>IFERROR(INDEX('Bibliothèque MP INRA'!$K:$K,MATCH($A6,'Bibliothèque MP INRA'!$C:$C,0)),"")</f>
        <v/>
      </c>
      <c r="P6" t="str">
        <f t="shared" si="6"/>
        <v/>
      </c>
      <c r="Q6" t="str">
        <f>IFERROR(INDEX('Bibliothèque MP INRA'!$L:$L,MATCH($A6,'Bibliothèque MP INRA'!$C:$C,0)),"")</f>
        <v/>
      </c>
      <c r="R6" t="str">
        <f t="shared" si="7"/>
        <v/>
      </c>
      <c r="S6" t="str">
        <f>IFERROR(INDEX('Bibliothèque MP INRA'!$M:$M,MATCH($A6,'Bibliothèque MP INRA'!$C:$C,0)),"")</f>
        <v/>
      </c>
      <c r="T6" t="str">
        <f t="shared" si="8"/>
        <v/>
      </c>
      <c r="U6" t="str">
        <f>IFERROR(INDEX('Bibliothèque MP INRA'!$N:$N,MATCH($A6,'Bibliothèque MP INRA'!$C:$C,0)),"")</f>
        <v/>
      </c>
      <c r="V6" t="str">
        <f t="shared" si="9"/>
        <v/>
      </c>
      <c r="W6" t="str">
        <f>IFERROR(INDEX('Bibliothèque MP INRA'!$O:$O,MATCH($A6,'Bibliothèque MP INRA'!$C:$C,0)),"")</f>
        <v/>
      </c>
      <c r="X6" t="str">
        <f t="shared" si="10"/>
        <v/>
      </c>
      <c r="Y6" t="str">
        <f>IFERROR(INDEX('Bibliothèque MP INRA'!$P:$P,MATCH($A6,'Bibliothèque MP INRA'!$C:$C,0)),"")</f>
        <v/>
      </c>
      <c r="Z6" t="str">
        <f t="shared" si="11"/>
        <v/>
      </c>
      <c r="AA6" t="str">
        <f ca="1">IFERROR(XLOOKUP($A6,'Bibliothèque MP INRA'!$C:$C,'Bibliothèque MP INRA'!$N:$N),"")</f>
        <v/>
      </c>
      <c r="AB6" t="str">
        <f t="shared" ca="1" si="12"/>
        <v/>
      </c>
      <c r="AC6" t="str">
        <f>IFERROR(INDEX('Bibliothèque MP INRA'!$R:$R,MATCH($A6,'Bibliothèque MP INRA'!$C:$C,0)),"")</f>
        <v/>
      </c>
      <c r="AD6" t="str">
        <f t="shared" si="13"/>
        <v/>
      </c>
      <c r="AE6" t="str">
        <f>IFERROR(INDEX('Bibliothèque MP INRA'!$Q:$Q,MATCH($A6,'Bibliothèque MP INRA'!$C:$C,0)),"")</f>
        <v/>
      </c>
      <c r="AF6" t="str">
        <f t="shared" si="14"/>
        <v/>
      </c>
      <c r="AG6" t="str">
        <f ca="1">IFERROR(XLOOKUP($A6,'Bibliothèque MP INRA'!$C:$C,'Bibliothèque MP INRA'!$B:$B),"")</f>
        <v/>
      </c>
      <c r="AH6" t="str">
        <f t="shared" ca="1" si="15"/>
        <v/>
      </c>
      <c r="AI6" t="str">
        <f>IFERROR(INDEX('Bibliothèque MP INRA'!$S:$S,MATCH($A6,'Bibliothèque MP INRA'!$C:$C,0)),"")</f>
        <v/>
      </c>
      <c r="AJ6" t="str">
        <f t="shared" si="16"/>
        <v/>
      </c>
    </row>
    <row r="7" spans="1:36" x14ac:dyDescent="0.35">
      <c r="C7" t="str">
        <f>IFERROR(INDEX('Bibliothèque MP INRA'!$D:$D,MATCH($A7,'Bibliothèque MP INRA'!$C:$C,0)),"")</f>
        <v/>
      </c>
      <c r="D7" t="str">
        <f t="shared" si="0"/>
        <v/>
      </c>
      <c r="E7" t="str">
        <f>IFERROR(INDEX('Bibliothèque MP INRA'!$E:$E,MATCH($A7,'Bibliothèque MP INRA'!$C:$C,0)),"")</f>
        <v/>
      </c>
      <c r="F7" t="str">
        <f t="shared" si="1"/>
        <v/>
      </c>
      <c r="G7" t="str">
        <f>IFERROR(INDEX('Bibliothèque MP INRA'!$I:$I,MATCH($A7,'Bibliothèque MP INRA'!$C:$C,0)),"")</f>
        <v/>
      </c>
      <c r="H7" t="str">
        <f t="shared" si="2"/>
        <v/>
      </c>
      <c r="I7" t="str">
        <f>IFERROR(INDEX('Bibliothèque MP INRA'!$G:$G,MATCH($A7,'Bibliothèque MP INRA'!$C:$C,0)),"")</f>
        <v/>
      </c>
      <c r="J7" t="str">
        <f t="shared" si="3"/>
        <v/>
      </c>
      <c r="K7" t="str">
        <f>IFERROR(INDEX('Bibliothèque MP INRA'!$H:$H,MATCH($A7,'Bibliothèque MP INRA'!$C:$C,0)),"")</f>
        <v/>
      </c>
      <c r="L7" t="str">
        <f t="shared" si="4"/>
        <v/>
      </c>
      <c r="M7" t="str">
        <f>IFERROR(INDEX('Bibliothèque MP INRA'!$J:$J,MATCH($A7,'Bibliothèque MP INRA'!$C:$C,0)),"")</f>
        <v/>
      </c>
      <c r="N7" t="str">
        <f t="shared" si="5"/>
        <v/>
      </c>
      <c r="O7" t="str">
        <f>IFERROR(INDEX('Bibliothèque MP INRA'!$K:$K,MATCH($A7,'Bibliothèque MP INRA'!$C:$C,0)),"")</f>
        <v/>
      </c>
      <c r="P7" t="str">
        <f t="shared" si="6"/>
        <v/>
      </c>
      <c r="Q7" t="str">
        <f>IFERROR(INDEX('Bibliothèque MP INRA'!$L:$L,MATCH($A7,'Bibliothèque MP INRA'!$C:$C,0)),"")</f>
        <v/>
      </c>
      <c r="R7" t="str">
        <f t="shared" si="7"/>
        <v/>
      </c>
      <c r="S7" t="str">
        <f>IFERROR(INDEX('Bibliothèque MP INRA'!$M:$M,MATCH($A7,'Bibliothèque MP INRA'!$C:$C,0)),"")</f>
        <v/>
      </c>
      <c r="T7" t="str">
        <f t="shared" si="8"/>
        <v/>
      </c>
      <c r="U7" t="str">
        <f>IFERROR(INDEX('Bibliothèque MP INRA'!$N:$N,MATCH($A7,'Bibliothèque MP INRA'!$C:$C,0)),"")</f>
        <v/>
      </c>
      <c r="V7" t="str">
        <f t="shared" si="9"/>
        <v/>
      </c>
      <c r="W7" t="str">
        <f>IFERROR(INDEX('Bibliothèque MP INRA'!$O:$O,MATCH($A7,'Bibliothèque MP INRA'!$C:$C,0)),"")</f>
        <v/>
      </c>
      <c r="X7" t="str">
        <f t="shared" si="10"/>
        <v/>
      </c>
      <c r="Y7" t="str">
        <f>IFERROR(INDEX('Bibliothèque MP INRA'!$P:$P,MATCH($A7,'Bibliothèque MP INRA'!$C:$C,0)),"")</f>
        <v/>
      </c>
      <c r="Z7" t="str">
        <f t="shared" si="11"/>
        <v/>
      </c>
      <c r="AA7" t="str">
        <f ca="1">IFERROR(XLOOKUP($A7,'Bibliothèque MP INRA'!$C:$C,'Bibliothèque MP INRA'!$N:$N),"")</f>
        <v/>
      </c>
      <c r="AB7" t="str">
        <f t="shared" ca="1" si="12"/>
        <v/>
      </c>
      <c r="AC7" t="str">
        <f>IFERROR(INDEX('Bibliothèque MP INRA'!$R:$R,MATCH($A7,'Bibliothèque MP INRA'!$C:$C,0)),"")</f>
        <v/>
      </c>
      <c r="AD7" t="str">
        <f t="shared" si="13"/>
        <v/>
      </c>
      <c r="AE7" t="str">
        <f>IFERROR(INDEX('Bibliothèque MP INRA'!$Q:$Q,MATCH($A7,'Bibliothèque MP INRA'!$C:$C,0)),"")</f>
        <v/>
      </c>
      <c r="AF7" t="str">
        <f t="shared" si="14"/>
        <v/>
      </c>
      <c r="AG7" t="str">
        <f ca="1">IFERROR(XLOOKUP($A7,'Bibliothèque MP INRA'!$C:$C,'Bibliothèque MP INRA'!$B:$B),"")</f>
        <v/>
      </c>
      <c r="AH7" t="str">
        <f t="shared" ca="1" si="15"/>
        <v/>
      </c>
      <c r="AI7" t="str">
        <f>IFERROR(INDEX('Bibliothèque MP INRA'!$S:$S,MATCH($A7,'Bibliothèque MP INRA'!$C:$C,0)),"")</f>
        <v/>
      </c>
      <c r="AJ7" t="str">
        <f t="shared" si="16"/>
        <v/>
      </c>
    </row>
    <row r="8" spans="1:36" x14ac:dyDescent="0.35">
      <c r="C8" t="str">
        <f>IFERROR(INDEX('Bibliothèque MP INRA'!$D:$D,MATCH($A8,'Bibliothèque MP INRA'!$C:$C,0)),"")</f>
        <v/>
      </c>
      <c r="D8" t="str">
        <f t="shared" si="0"/>
        <v/>
      </c>
      <c r="E8" t="str">
        <f>IFERROR(INDEX('Bibliothèque MP INRA'!$E:$E,MATCH($A8,'Bibliothèque MP INRA'!$C:$C,0)),"")</f>
        <v/>
      </c>
      <c r="F8" t="str">
        <f t="shared" si="1"/>
        <v/>
      </c>
      <c r="G8" t="str">
        <f>IFERROR(INDEX('Bibliothèque MP INRA'!$I:$I,MATCH($A8,'Bibliothèque MP INRA'!$C:$C,0)),"")</f>
        <v/>
      </c>
      <c r="H8" t="str">
        <f t="shared" si="2"/>
        <v/>
      </c>
      <c r="I8" t="str">
        <f>IFERROR(INDEX('Bibliothèque MP INRA'!$G:$G,MATCH($A8,'Bibliothèque MP INRA'!$C:$C,0)),"")</f>
        <v/>
      </c>
      <c r="J8" t="str">
        <f t="shared" si="3"/>
        <v/>
      </c>
      <c r="K8" t="str">
        <f>IFERROR(INDEX('Bibliothèque MP INRA'!$H:$H,MATCH($A8,'Bibliothèque MP INRA'!$C:$C,0)),"")</f>
        <v/>
      </c>
      <c r="L8" t="str">
        <f t="shared" si="4"/>
        <v/>
      </c>
      <c r="M8" t="str">
        <f>IFERROR(INDEX('Bibliothèque MP INRA'!$J:$J,MATCH($A8,'Bibliothèque MP INRA'!$C:$C,0)),"")</f>
        <v/>
      </c>
      <c r="N8" t="str">
        <f t="shared" si="5"/>
        <v/>
      </c>
      <c r="O8" t="str">
        <f>IFERROR(INDEX('Bibliothèque MP INRA'!$K:$K,MATCH($A8,'Bibliothèque MP INRA'!$C:$C,0)),"")</f>
        <v/>
      </c>
      <c r="P8" t="str">
        <f t="shared" si="6"/>
        <v/>
      </c>
      <c r="Q8" t="str">
        <f>IFERROR(INDEX('Bibliothèque MP INRA'!$L:$L,MATCH($A8,'Bibliothèque MP INRA'!$C:$C,0)),"")</f>
        <v/>
      </c>
      <c r="R8" t="str">
        <f t="shared" si="7"/>
        <v/>
      </c>
      <c r="S8" t="str">
        <f>IFERROR(INDEX('Bibliothèque MP INRA'!$M:$M,MATCH($A8,'Bibliothèque MP INRA'!$C:$C,0)),"")</f>
        <v/>
      </c>
      <c r="T8" t="str">
        <f t="shared" si="8"/>
        <v/>
      </c>
      <c r="U8" t="str">
        <f>IFERROR(INDEX('Bibliothèque MP INRA'!$N:$N,MATCH($A8,'Bibliothèque MP INRA'!$C:$C,0)),"")</f>
        <v/>
      </c>
      <c r="V8" t="str">
        <f t="shared" si="9"/>
        <v/>
      </c>
      <c r="W8" t="str">
        <f>IFERROR(INDEX('Bibliothèque MP INRA'!$O:$O,MATCH($A8,'Bibliothèque MP INRA'!$C:$C,0)),"")</f>
        <v/>
      </c>
      <c r="X8" t="str">
        <f t="shared" si="10"/>
        <v/>
      </c>
      <c r="Y8" t="str">
        <f>IFERROR(INDEX('Bibliothèque MP INRA'!$P:$P,MATCH($A8,'Bibliothèque MP INRA'!$C:$C,0)),"")</f>
        <v/>
      </c>
      <c r="Z8" t="str">
        <f t="shared" si="11"/>
        <v/>
      </c>
      <c r="AA8" t="str">
        <f ca="1">IFERROR(XLOOKUP($A8,'Bibliothèque MP INRA'!$C:$C,'Bibliothèque MP INRA'!$N:$N),"")</f>
        <v/>
      </c>
      <c r="AB8" t="str">
        <f t="shared" ca="1" si="12"/>
        <v/>
      </c>
      <c r="AC8" t="str">
        <f>IFERROR(INDEX('Bibliothèque MP INRA'!$R:$R,MATCH($A8,'Bibliothèque MP INRA'!$C:$C,0)),"")</f>
        <v/>
      </c>
      <c r="AD8" t="str">
        <f t="shared" si="13"/>
        <v/>
      </c>
      <c r="AE8" t="str">
        <f>IFERROR(INDEX('Bibliothèque MP INRA'!$Q:$Q,MATCH($A8,'Bibliothèque MP INRA'!$C:$C,0)),"")</f>
        <v/>
      </c>
      <c r="AF8" t="str">
        <f t="shared" si="14"/>
        <v/>
      </c>
      <c r="AG8" t="str">
        <f ca="1">IFERROR(XLOOKUP($A8,'Bibliothèque MP INRA'!$C:$C,'Bibliothèque MP INRA'!$B:$B),"")</f>
        <v/>
      </c>
      <c r="AH8" t="str">
        <f t="shared" ca="1" si="15"/>
        <v/>
      </c>
      <c r="AI8" t="str">
        <f>IFERROR(INDEX('Bibliothèque MP INRA'!$S:$S,MATCH($A8,'Bibliothèque MP INRA'!$C:$C,0)),"")</f>
        <v/>
      </c>
      <c r="AJ8" t="str">
        <f t="shared" si="16"/>
        <v/>
      </c>
    </row>
    <row r="9" spans="1:36" x14ac:dyDescent="0.35">
      <c r="C9" t="str">
        <f>IFERROR(INDEX('Bibliothèque MP INRA'!$D:$D,MATCH($A9,'Bibliothèque MP INRA'!$C:$C,0)),"")</f>
        <v/>
      </c>
      <c r="D9" t="str">
        <f t="shared" si="0"/>
        <v/>
      </c>
      <c r="E9" t="str">
        <f>IFERROR(INDEX('Bibliothèque MP INRA'!$E:$E,MATCH($A9,'Bibliothèque MP INRA'!$C:$C,0)),"")</f>
        <v/>
      </c>
      <c r="F9" t="str">
        <f t="shared" si="1"/>
        <v/>
      </c>
      <c r="G9" t="str">
        <f>IFERROR(INDEX('Bibliothèque MP INRA'!$I:$I,MATCH($A9,'Bibliothèque MP INRA'!$C:$C,0)),"")</f>
        <v/>
      </c>
      <c r="H9" t="str">
        <f t="shared" si="2"/>
        <v/>
      </c>
      <c r="I9" t="str">
        <f>IFERROR(INDEX('Bibliothèque MP INRA'!$G:$G,MATCH($A9,'Bibliothèque MP INRA'!$C:$C,0)),"")</f>
        <v/>
      </c>
      <c r="J9" t="str">
        <f t="shared" si="3"/>
        <v/>
      </c>
      <c r="K9" t="str">
        <f>IFERROR(INDEX('Bibliothèque MP INRA'!$H:$H,MATCH($A9,'Bibliothèque MP INRA'!$C:$C,0)),"")</f>
        <v/>
      </c>
      <c r="L9" t="str">
        <f t="shared" si="4"/>
        <v/>
      </c>
      <c r="M9" t="str">
        <f>IFERROR(INDEX('Bibliothèque MP INRA'!$J:$J,MATCH($A9,'Bibliothèque MP INRA'!$C:$C,0)),"")</f>
        <v/>
      </c>
      <c r="N9" t="str">
        <f t="shared" si="5"/>
        <v/>
      </c>
      <c r="O9" t="str">
        <f>IFERROR(INDEX('Bibliothèque MP INRA'!$K:$K,MATCH($A9,'Bibliothèque MP INRA'!$C:$C,0)),"")</f>
        <v/>
      </c>
      <c r="P9" t="str">
        <f t="shared" si="6"/>
        <v/>
      </c>
      <c r="Q9" t="str">
        <f>IFERROR(INDEX('Bibliothèque MP INRA'!$L:$L,MATCH($A9,'Bibliothèque MP INRA'!$C:$C,0)),"")</f>
        <v/>
      </c>
      <c r="R9" t="str">
        <f t="shared" si="7"/>
        <v/>
      </c>
      <c r="S9" t="str">
        <f>IFERROR(INDEX('Bibliothèque MP INRA'!$M:$M,MATCH($A9,'Bibliothèque MP INRA'!$C:$C,0)),"")</f>
        <v/>
      </c>
      <c r="T9" t="str">
        <f t="shared" si="8"/>
        <v/>
      </c>
      <c r="U9" t="str">
        <f>IFERROR(INDEX('Bibliothèque MP INRA'!$N:$N,MATCH($A9,'Bibliothèque MP INRA'!$C:$C,0)),"")</f>
        <v/>
      </c>
      <c r="V9" t="str">
        <f t="shared" si="9"/>
        <v/>
      </c>
      <c r="W9" t="str">
        <f>IFERROR(INDEX('Bibliothèque MP INRA'!$O:$O,MATCH($A9,'Bibliothèque MP INRA'!$C:$C,0)),"")</f>
        <v/>
      </c>
      <c r="X9" t="str">
        <f t="shared" si="10"/>
        <v/>
      </c>
      <c r="Y9" t="str">
        <f>IFERROR(INDEX('Bibliothèque MP INRA'!$P:$P,MATCH($A9,'Bibliothèque MP INRA'!$C:$C,0)),"")</f>
        <v/>
      </c>
      <c r="Z9" t="str">
        <f t="shared" si="11"/>
        <v/>
      </c>
      <c r="AA9" t="str">
        <f ca="1">IFERROR(XLOOKUP($A9,'Bibliothèque MP INRA'!$C:$C,'Bibliothèque MP INRA'!$N:$N),"")</f>
        <v/>
      </c>
      <c r="AB9" t="str">
        <f t="shared" ca="1" si="12"/>
        <v/>
      </c>
      <c r="AC9" t="str">
        <f>IFERROR(INDEX('Bibliothèque MP INRA'!$R:$R,MATCH($A9,'Bibliothèque MP INRA'!$C:$C,0)),"")</f>
        <v/>
      </c>
      <c r="AD9" t="str">
        <f t="shared" si="13"/>
        <v/>
      </c>
      <c r="AE9" t="str">
        <f>IFERROR(INDEX('Bibliothèque MP INRA'!$Q:$Q,MATCH($A9,'Bibliothèque MP INRA'!$C:$C,0)),"")</f>
        <v/>
      </c>
      <c r="AF9" t="str">
        <f t="shared" si="14"/>
        <v/>
      </c>
      <c r="AG9" t="str">
        <f ca="1">IFERROR(XLOOKUP($A9,'Bibliothèque MP INRA'!$C:$C,'Bibliothèque MP INRA'!$B:$B),"")</f>
        <v/>
      </c>
      <c r="AH9" t="str">
        <f t="shared" ca="1" si="15"/>
        <v/>
      </c>
      <c r="AI9" t="str">
        <f>IFERROR(INDEX('Bibliothèque MP INRA'!$S:$S,MATCH($A9,'Bibliothèque MP INRA'!$C:$C,0)),"")</f>
        <v/>
      </c>
      <c r="AJ9" t="str">
        <f t="shared" si="16"/>
        <v/>
      </c>
    </row>
    <row r="10" spans="1:36" x14ac:dyDescent="0.35">
      <c r="C10" t="str">
        <f>IFERROR(INDEX('Bibliothèque MP INRA'!$D:$D,MATCH($A10,'Bibliothèque MP INRA'!$C:$C,0)),"")</f>
        <v/>
      </c>
      <c r="D10" t="str">
        <f t="shared" si="0"/>
        <v/>
      </c>
      <c r="E10" t="str">
        <f>IFERROR(INDEX('Bibliothèque MP INRA'!$E:$E,MATCH($A10,'Bibliothèque MP INRA'!$C:$C,0)),"")</f>
        <v/>
      </c>
      <c r="F10" t="str">
        <f t="shared" si="1"/>
        <v/>
      </c>
      <c r="G10" t="str">
        <f>IFERROR(INDEX('Bibliothèque MP INRA'!$I:$I,MATCH($A10,'Bibliothèque MP INRA'!$C:$C,0)),"")</f>
        <v/>
      </c>
      <c r="H10" t="str">
        <f t="shared" si="2"/>
        <v/>
      </c>
      <c r="I10" t="str">
        <f>IFERROR(INDEX('Bibliothèque MP INRA'!$G:$G,MATCH($A10,'Bibliothèque MP INRA'!$C:$C,0)),"")</f>
        <v/>
      </c>
      <c r="J10" t="str">
        <f t="shared" si="3"/>
        <v/>
      </c>
      <c r="K10" t="str">
        <f>IFERROR(INDEX('Bibliothèque MP INRA'!$H:$H,MATCH($A10,'Bibliothèque MP INRA'!$C:$C,0)),"")</f>
        <v/>
      </c>
      <c r="L10" t="str">
        <f t="shared" si="4"/>
        <v/>
      </c>
      <c r="M10" t="str">
        <f>IFERROR(INDEX('Bibliothèque MP INRA'!$J:$J,MATCH($A10,'Bibliothèque MP INRA'!$C:$C,0)),"")</f>
        <v/>
      </c>
      <c r="N10" t="str">
        <f t="shared" si="5"/>
        <v/>
      </c>
      <c r="O10" t="str">
        <f>IFERROR(INDEX('Bibliothèque MP INRA'!$K:$K,MATCH($A10,'Bibliothèque MP INRA'!$C:$C,0)),"")</f>
        <v/>
      </c>
      <c r="P10" t="str">
        <f t="shared" si="6"/>
        <v/>
      </c>
      <c r="Q10" t="str">
        <f>IFERROR(INDEX('Bibliothèque MP INRA'!$L:$L,MATCH($A10,'Bibliothèque MP INRA'!$C:$C,0)),"")</f>
        <v/>
      </c>
      <c r="R10" t="str">
        <f t="shared" si="7"/>
        <v/>
      </c>
      <c r="S10" t="str">
        <f>IFERROR(INDEX('Bibliothèque MP INRA'!$M:$M,MATCH($A10,'Bibliothèque MP INRA'!$C:$C,0)),"")</f>
        <v/>
      </c>
      <c r="T10" t="str">
        <f t="shared" si="8"/>
        <v/>
      </c>
      <c r="U10" t="str">
        <f>IFERROR(INDEX('Bibliothèque MP INRA'!$N:$N,MATCH($A10,'Bibliothèque MP INRA'!$C:$C,0)),"")</f>
        <v/>
      </c>
      <c r="V10" t="str">
        <f t="shared" si="9"/>
        <v/>
      </c>
      <c r="W10" t="str">
        <f>IFERROR(INDEX('Bibliothèque MP INRA'!$O:$O,MATCH($A10,'Bibliothèque MP INRA'!$C:$C,0)),"")</f>
        <v/>
      </c>
      <c r="X10" t="str">
        <f t="shared" si="10"/>
        <v/>
      </c>
      <c r="Y10" t="str">
        <f>IFERROR(INDEX('Bibliothèque MP INRA'!$P:$P,MATCH($A10,'Bibliothèque MP INRA'!$C:$C,0)),"")</f>
        <v/>
      </c>
      <c r="Z10" t="str">
        <f t="shared" si="11"/>
        <v/>
      </c>
      <c r="AA10" t="str">
        <f ca="1">IFERROR(XLOOKUP($A10,'Bibliothèque MP INRA'!$C:$C,'Bibliothèque MP INRA'!$N:$N),"")</f>
        <v/>
      </c>
      <c r="AB10" t="str">
        <f t="shared" ca="1" si="12"/>
        <v/>
      </c>
      <c r="AC10" t="str">
        <f>IFERROR(INDEX('Bibliothèque MP INRA'!$R:$R,MATCH($A10,'Bibliothèque MP INRA'!$C:$C,0)),"")</f>
        <v/>
      </c>
      <c r="AD10" t="str">
        <f t="shared" si="13"/>
        <v/>
      </c>
      <c r="AE10" t="str">
        <f>IFERROR(INDEX('Bibliothèque MP INRA'!$Q:$Q,MATCH($A10,'Bibliothèque MP INRA'!$C:$C,0)),"")</f>
        <v/>
      </c>
      <c r="AF10" t="str">
        <f t="shared" si="14"/>
        <v/>
      </c>
      <c r="AG10" t="str">
        <f ca="1">IFERROR(XLOOKUP($A10,'Bibliothèque MP INRA'!$C:$C,'Bibliothèque MP INRA'!$B:$B),"")</f>
        <v/>
      </c>
      <c r="AH10" t="str">
        <f t="shared" ca="1" si="15"/>
        <v/>
      </c>
      <c r="AI10" t="str">
        <f>IFERROR(INDEX('Bibliothèque MP INRA'!$S:$S,MATCH($A10,'Bibliothèque MP INRA'!$C:$C,0)),"")</f>
        <v/>
      </c>
      <c r="AJ10" t="str">
        <f t="shared" si="16"/>
        <v/>
      </c>
    </row>
    <row r="11" spans="1:36" x14ac:dyDescent="0.35">
      <c r="C11" t="str">
        <f>IFERROR(INDEX('Bibliothèque MP INRA'!$D:$D,MATCH($A11,'Bibliothèque MP INRA'!$C:$C,0)),"")</f>
        <v/>
      </c>
      <c r="D11" t="str">
        <f t="shared" si="0"/>
        <v/>
      </c>
      <c r="E11" t="str">
        <f>IFERROR(INDEX('Bibliothèque MP INRA'!$E:$E,MATCH($A11,'Bibliothèque MP INRA'!$C:$C,0)),"")</f>
        <v/>
      </c>
      <c r="F11" t="str">
        <f t="shared" si="1"/>
        <v/>
      </c>
      <c r="G11" t="str">
        <f>IFERROR(INDEX('Bibliothèque MP INRA'!$I:$I,MATCH($A11,'Bibliothèque MP INRA'!$C:$C,0)),"")</f>
        <v/>
      </c>
      <c r="H11" t="str">
        <f t="shared" si="2"/>
        <v/>
      </c>
      <c r="I11" t="str">
        <f>IFERROR(INDEX('Bibliothèque MP INRA'!$G:$G,MATCH($A11,'Bibliothèque MP INRA'!$C:$C,0)),"")</f>
        <v/>
      </c>
      <c r="J11" t="str">
        <f t="shared" si="3"/>
        <v/>
      </c>
      <c r="K11" t="str">
        <f>IFERROR(INDEX('Bibliothèque MP INRA'!$H:$H,MATCH($A11,'Bibliothèque MP INRA'!$C:$C,0)),"")</f>
        <v/>
      </c>
      <c r="L11" t="str">
        <f t="shared" si="4"/>
        <v/>
      </c>
      <c r="M11" t="str">
        <f>IFERROR(INDEX('Bibliothèque MP INRA'!$J:$J,MATCH($A11,'Bibliothèque MP INRA'!$C:$C,0)),"")</f>
        <v/>
      </c>
      <c r="N11" t="str">
        <f t="shared" si="5"/>
        <v/>
      </c>
      <c r="O11" t="str">
        <f>IFERROR(INDEX('Bibliothèque MP INRA'!$K:$K,MATCH($A11,'Bibliothèque MP INRA'!$C:$C,0)),"")</f>
        <v/>
      </c>
      <c r="P11" t="str">
        <f t="shared" si="6"/>
        <v/>
      </c>
      <c r="Q11" t="str">
        <f>IFERROR(INDEX('Bibliothèque MP INRA'!$L:$L,MATCH($A11,'Bibliothèque MP INRA'!$C:$C,0)),"")</f>
        <v/>
      </c>
      <c r="R11" t="str">
        <f t="shared" si="7"/>
        <v/>
      </c>
      <c r="S11" t="str">
        <f>IFERROR(INDEX('Bibliothèque MP INRA'!$M:$M,MATCH($A11,'Bibliothèque MP INRA'!$C:$C,0)),"")</f>
        <v/>
      </c>
      <c r="T11" t="str">
        <f t="shared" si="8"/>
        <v/>
      </c>
      <c r="U11" t="str">
        <f>IFERROR(INDEX('Bibliothèque MP INRA'!$N:$N,MATCH($A11,'Bibliothèque MP INRA'!$C:$C,0)),"")</f>
        <v/>
      </c>
      <c r="V11" t="str">
        <f t="shared" si="9"/>
        <v/>
      </c>
      <c r="W11" t="str">
        <f>IFERROR(INDEX('Bibliothèque MP INRA'!$O:$O,MATCH($A11,'Bibliothèque MP INRA'!$C:$C,0)),"")</f>
        <v/>
      </c>
      <c r="X11" t="str">
        <f t="shared" si="10"/>
        <v/>
      </c>
      <c r="Y11" t="str">
        <f>IFERROR(INDEX('Bibliothèque MP INRA'!$P:$P,MATCH($A11,'Bibliothèque MP INRA'!$C:$C,0)),"")</f>
        <v/>
      </c>
      <c r="Z11" t="str">
        <f t="shared" si="11"/>
        <v/>
      </c>
      <c r="AA11" t="str">
        <f ca="1">IFERROR(XLOOKUP($A11,'Bibliothèque MP INRA'!$C:$C,'Bibliothèque MP INRA'!$N:$N),"")</f>
        <v/>
      </c>
      <c r="AB11" t="str">
        <f t="shared" ca="1" si="12"/>
        <v/>
      </c>
      <c r="AC11" t="str">
        <f>IFERROR(INDEX('Bibliothèque MP INRA'!$R:$R,MATCH($A11,'Bibliothèque MP INRA'!$C:$C,0)),"")</f>
        <v/>
      </c>
      <c r="AD11" t="str">
        <f t="shared" si="13"/>
        <v/>
      </c>
      <c r="AE11" t="str">
        <f>IFERROR(INDEX('Bibliothèque MP INRA'!$Q:$Q,MATCH($A11,'Bibliothèque MP INRA'!$C:$C,0)),"")</f>
        <v/>
      </c>
      <c r="AF11" t="str">
        <f t="shared" si="14"/>
        <v/>
      </c>
      <c r="AG11" t="str">
        <f ca="1">IFERROR(XLOOKUP($A11,'Bibliothèque MP INRA'!$C:$C,'Bibliothèque MP INRA'!$B:$B),"")</f>
        <v/>
      </c>
      <c r="AH11" t="str">
        <f t="shared" ca="1" si="15"/>
        <v/>
      </c>
      <c r="AI11" t="str">
        <f>IFERROR(INDEX('Bibliothèque MP INRA'!$S:$S,MATCH($A11,'Bibliothèque MP INRA'!$C:$C,0)),"")</f>
        <v/>
      </c>
      <c r="AJ11" t="str">
        <f t="shared" si="16"/>
        <v/>
      </c>
    </row>
    <row r="12" spans="1:36" x14ac:dyDescent="0.35">
      <c r="C12" t="str">
        <f>IFERROR(INDEX('Bibliothèque MP INRA'!$D:$D,MATCH($A12,'Bibliothèque MP INRA'!$C:$C,0)),"")</f>
        <v/>
      </c>
      <c r="D12" t="str">
        <f t="shared" si="0"/>
        <v/>
      </c>
      <c r="E12" t="str">
        <f>IFERROR(INDEX('Bibliothèque MP INRA'!$E:$E,MATCH($A12,'Bibliothèque MP INRA'!$C:$C,0)),"")</f>
        <v/>
      </c>
      <c r="F12" t="str">
        <f t="shared" si="1"/>
        <v/>
      </c>
      <c r="G12" t="str">
        <f>IFERROR(INDEX('Bibliothèque MP INRA'!$I:$I,MATCH($A12,'Bibliothèque MP INRA'!$C:$C,0)),"")</f>
        <v/>
      </c>
      <c r="H12" t="str">
        <f t="shared" si="2"/>
        <v/>
      </c>
      <c r="I12" t="str">
        <f>IFERROR(INDEX('Bibliothèque MP INRA'!$G:$G,MATCH($A12,'Bibliothèque MP INRA'!$C:$C,0)),"")</f>
        <v/>
      </c>
      <c r="J12" t="str">
        <f t="shared" si="3"/>
        <v/>
      </c>
      <c r="K12" t="str">
        <f>IFERROR(INDEX('Bibliothèque MP INRA'!$H:$H,MATCH($A12,'Bibliothèque MP INRA'!$C:$C,0)),"")</f>
        <v/>
      </c>
      <c r="L12" t="str">
        <f t="shared" si="4"/>
        <v/>
      </c>
      <c r="M12" t="str">
        <f>IFERROR(INDEX('Bibliothèque MP INRA'!$J:$J,MATCH($A12,'Bibliothèque MP INRA'!$C:$C,0)),"")</f>
        <v/>
      </c>
      <c r="N12" t="str">
        <f t="shared" si="5"/>
        <v/>
      </c>
      <c r="O12" t="str">
        <f>IFERROR(INDEX('Bibliothèque MP INRA'!$K:$K,MATCH($A12,'Bibliothèque MP INRA'!$C:$C,0)),"")</f>
        <v/>
      </c>
      <c r="P12" t="str">
        <f t="shared" si="6"/>
        <v/>
      </c>
      <c r="Q12" t="str">
        <f>IFERROR(INDEX('Bibliothèque MP INRA'!$L:$L,MATCH($A12,'Bibliothèque MP INRA'!$C:$C,0)),"")</f>
        <v/>
      </c>
      <c r="R12" t="str">
        <f t="shared" si="7"/>
        <v/>
      </c>
      <c r="S12" t="str">
        <f>IFERROR(INDEX('Bibliothèque MP INRA'!$M:$M,MATCH($A12,'Bibliothèque MP INRA'!$C:$C,0)),"")</f>
        <v/>
      </c>
      <c r="T12" t="str">
        <f t="shared" si="8"/>
        <v/>
      </c>
      <c r="U12" t="str">
        <f>IFERROR(INDEX('Bibliothèque MP INRA'!$N:$N,MATCH($A12,'Bibliothèque MP INRA'!$C:$C,0)),"")</f>
        <v/>
      </c>
      <c r="V12" t="str">
        <f t="shared" si="9"/>
        <v/>
      </c>
      <c r="W12" t="str">
        <f>IFERROR(INDEX('Bibliothèque MP INRA'!$O:$O,MATCH($A12,'Bibliothèque MP INRA'!$C:$C,0)),"")</f>
        <v/>
      </c>
      <c r="X12" t="str">
        <f t="shared" si="10"/>
        <v/>
      </c>
      <c r="Y12" t="str">
        <f>IFERROR(INDEX('Bibliothèque MP INRA'!$P:$P,MATCH($A12,'Bibliothèque MP INRA'!$C:$C,0)),"")</f>
        <v/>
      </c>
      <c r="Z12" t="str">
        <f t="shared" si="11"/>
        <v/>
      </c>
      <c r="AA12" t="str">
        <f ca="1">IFERROR(XLOOKUP($A12,'Bibliothèque MP INRA'!$C:$C,'Bibliothèque MP INRA'!$N:$N),"")</f>
        <v/>
      </c>
      <c r="AB12" t="str">
        <f t="shared" ca="1" si="12"/>
        <v/>
      </c>
      <c r="AC12" t="str">
        <f>IFERROR(INDEX('Bibliothèque MP INRA'!$R:$R,MATCH($A12,'Bibliothèque MP INRA'!$C:$C,0)),"")</f>
        <v/>
      </c>
      <c r="AD12" t="str">
        <f t="shared" si="13"/>
        <v/>
      </c>
      <c r="AE12" t="str">
        <f>IFERROR(INDEX('Bibliothèque MP INRA'!$Q:$Q,MATCH($A12,'Bibliothèque MP INRA'!$C:$C,0)),"")</f>
        <v/>
      </c>
      <c r="AF12" t="str">
        <f t="shared" si="14"/>
        <v/>
      </c>
      <c r="AG12" t="str">
        <f ca="1">IFERROR(XLOOKUP($A12,'Bibliothèque MP INRA'!$C:$C,'Bibliothèque MP INRA'!$B:$B),"")</f>
        <v/>
      </c>
      <c r="AH12" t="str">
        <f t="shared" ca="1" si="15"/>
        <v/>
      </c>
      <c r="AI12" t="str">
        <f>IFERROR(INDEX('Bibliothèque MP INRA'!$S:$S,MATCH($A12,'Bibliothèque MP INRA'!$C:$C,0)),"")</f>
        <v/>
      </c>
      <c r="AJ12" t="str">
        <f t="shared" si="16"/>
        <v/>
      </c>
    </row>
    <row r="13" spans="1:36" x14ac:dyDescent="0.35">
      <c r="C13" t="str">
        <f>IFERROR(INDEX('Bibliothèque MP INRA'!$D:$D,MATCH($A13,'Bibliothèque MP INRA'!$C:$C,0)),"")</f>
        <v/>
      </c>
      <c r="D13" t="str">
        <f t="shared" si="0"/>
        <v/>
      </c>
      <c r="E13" t="str">
        <f>IFERROR(INDEX('Bibliothèque MP INRA'!$E:$E,MATCH($A13,'Bibliothèque MP INRA'!$C:$C,0)),"")</f>
        <v/>
      </c>
      <c r="F13" t="str">
        <f t="shared" si="1"/>
        <v/>
      </c>
      <c r="G13" t="str">
        <f>IFERROR(INDEX('Bibliothèque MP INRA'!$I:$I,MATCH($A13,'Bibliothèque MP INRA'!$C:$C,0)),"")</f>
        <v/>
      </c>
      <c r="H13" t="str">
        <f t="shared" si="2"/>
        <v/>
      </c>
      <c r="I13" t="str">
        <f>IFERROR(INDEX('Bibliothèque MP INRA'!$G:$G,MATCH($A13,'Bibliothèque MP INRA'!$C:$C,0)),"")</f>
        <v/>
      </c>
      <c r="J13" t="str">
        <f t="shared" si="3"/>
        <v/>
      </c>
      <c r="K13" t="str">
        <f>IFERROR(INDEX('Bibliothèque MP INRA'!$H:$H,MATCH($A13,'Bibliothèque MP INRA'!$C:$C,0)),"")</f>
        <v/>
      </c>
      <c r="L13" t="str">
        <f t="shared" si="4"/>
        <v/>
      </c>
      <c r="M13" t="str">
        <f>IFERROR(INDEX('Bibliothèque MP INRA'!$J:$J,MATCH($A13,'Bibliothèque MP INRA'!$C:$C,0)),"")</f>
        <v/>
      </c>
      <c r="N13" t="str">
        <f t="shared" si="5"/>
        <v/>
      </c>
      <c r="O13" t="str">
        <f>IFERROR(INDEX('Bibliothèque MP INRA'!$K:$K,MATCH($A13,'Bibliothèque MP INRA'!$C:$C,0)),"")</f>
        <v/>
      </c>
      <c r="P13" t="str">
        <f t="shared" si="6"/>
        <v/>
      </c>
      <c r="Q13" t="str">
        <f>IFERROR(INDEX('Bibliothèque MP INRA'!$L:$L,MATCH($A13,'Bibliothèque MP INRA'!$C:$C,0)),"")</f>
        <v/>
      </c>
      <c r="R13" t="str">
        <f t="shared" si="7"/>
        <v/>
      </c>
      <c r="S13" t="str">
        <f>IFERROR(INDEX('Bibliothèque MP INRA'!$M:$M,MATCH($A13,'Bibliothèque MP INRA'!$C:$C,0)),"")</f>
        <v/>
      </c>
      <c r="T13" t="str">
        <f t="shared" si="8"/>
        <v/>
      </c>
      <c r="U13" t="str">
        <f>IFERROR(INDEX('Bibliothèque MP INRA'!$N:$N,MATCH($A13,'Bibliothèque MP INRA'!$C:$C,0)),"")</f>
        <v/>
      </c>
      <c r="V13" t="str">
        <f t="shared" si="9"/>
        <v/>
      </c>
      <c r="W13" t="str">
        <f>IFERROR(INDEX('Bibliothèque MP INRA'!$O:$O,MATCH($A13,'Bibliothèque MP INRA'!$C:$C,0)),"")</f>
        <v/>
      </c>
      <c r="X13" t="str">
        <f t="shared" si="10"/>
        <v/>
      </c>
      <c r="Y13" t="str">
        <f>IFERROR(INDEX('Bibliothèque MP INRA'!$P:$P,MATCH($A13,'Bibliothèque MP INRA'!$C:$C,0)),"")</f>
        <v/>
      </c>
      <c r="Z13" t="str">
        <f t="shared" si="11"/>
        <v/>
      </c>
      <c r="AA13" t="str">
        <f ca="1">IFERROR(XLOOKUP($A13,'Bibliothèque MP INRA'!$C:$C,'Bibliothèque MP INRA'!$N:$N),"")</f>
        <v/>
      </c>
      <c r="AB13" t="str">
        <f t="shared" ca="1" si="12"/>
        <v/>
      </c>
      <c r="AC13" t="str">
        <f>IFERROR(INDEX('Bibliothèque MP INRA'!$R:$R,MATCH($A13,'Bibliothèque MP INRA'!$C:$C,0)),"")</f>
        <v/>
      </c>
      <c r="AD13" t="str">
        <f t="shared" si="13"/>
        <v/>
      </c>
      <c r="AE13" t="str">
        <f>IFERROR(INDEX('Bibliothèque MP INRA'!$Q:$Q,MATCH($A13,'Bibliothèque MP INRA'!$C:$C,0)),"")</f>
        <v/>
      </c>
      <c r="AF13" t="str">
        <f t="shared" si="14"/>
        <v/>
      </c>
      <c r="AG13" t="str">
        <f ca="1">IFERROR(XLOOKUP($A13,'Bibliothèque MP INRA'!$C:$C,'Bibliothèque MP INRA'!$B:$B),"")</f>
        <v/>
      </c>
      <c r="AH13" t="str">
        <f t="shared" ca="1" si="15"/>
        <v/>
      </c>
      <c r="AI13" t="str">
        <f>IFERROR(INDEX('Bibliothèque MP INRA'!$S:$S,MATCH($A13,'Bibliothèque MP INRA'!$C:$C,0)),"")</f>
        <v/>
      </c>
      <c r="AJ13" t="str">
        <f t="shared" si="16"/>
        <v/>
      </c>
    </row>
    <row r="14" spans="1:36" x14ac:dyDescent="0.35">
      <c r="C14" t="str">
        <f>IFERROR(INDEX('Bibliothèque MP INRA'!$D:$D,MATCH($A14,'Bibliothèque MP INRA'!$C:$C,0)),"")</f>
        <v/>
      </c>
      <c r="D14" t="str">
        <f t="shared" si="0"/>
        <v/>
      </c>
      <c r="E14" t="str">
        <f>IFERROR(INDEX('Bibliothèque MP INRA'!$E:$E,MATCH($A14,'Bibliothèque MP INRA'!$C:$C,0)),"")</f>
        <v/>
      </c>
      <c r="F14" t="str">
        <f t="shared" si="1"/>
        <v/>
      </c>
      <c r="G14" t="str">
        <f>IFERROR(INDEX('Bibliothèque MP INRA'!$I:$I,MATCH($A14,'Bibliothèque MP INRA'!$C:$C,0)),"")</f>
        <v/>
      </c>
      <c r="H14" t="str">
        <f t="shared" si="2"/>
        <v/>
      </c>
      <c r="I14" t="str">
        <f>IFERROR(INDEX('Bibliothèque MP INRA'!$G:$G,MATCH($A14,'Bibliothèque MP INRA'!$C:$C,0)),"")</f>
        <v/>
      </c>
      <c r="J14" t="str">
        <f t="shared" si="3"/>
        <v/>
      </c>
      <c r="K14" t="str">
        <f>IFERROR(INDEX('Bibliothèque MP INRA'!$H:$H,MATCH($A14,'Bibliothèque MP INRA'!$C:$C,0)),"")</f>
        <v/>
      </c>
      <c r="L14" t="str">
        <f t="shared" si="4"/>
        <v/>
      </c>
      <c r="M14" t="str">
        <f>IFERROR(INDEX('Bibliothèque MP INRA'!$J:$J,MATCH($A14,'Bibliothèque MP INRA'!$C:$C,0)),"")</f>
        <v/>
      </c>
      <c r="N14" t="str">
        <f t="shared" si="5"/>
        <v/>
      </c>
      <c r="O14" t="str">
        <f>IFERROR(INDEX('Bibliothèque MP INRA'!$K:$K,MATCH($A14,'Bibliothèque MP INRA'!$C:$C,0)),"")</f>
        <v/>
      </c>
      <c r="P14" t="str">
        <f t="shared" si="6"/>
        <v/>
      </c>
      <c r="Q14" t="str">
        <f>IFERROR(INDEX('Bibliothèque MP INRA'!$L:$L,MATCH($A14,'Bibliothèque MP INRA'!$C:$C,0)),"")</f>
        <v/>
      </c>
      <c r="R14" t="str">
        <f t="shared" si="7"/>
        <v/>
      </c>
      <c r="S14" t="str">
        <f>IFERROR(INDEX('Bibliothèque MP INRA'!$M:$M,MATCH($A14,'Bibliothèque MP INRA'!$C:$C,0)),"")</f>
        <v/>
      </c>
      <c r="T14" t="str">
        <f t="shared" si="8"/>
        <v/>
      </c>
      <c r="U14" t="str">
        <f>IFERROR(INDEX('Bibliothèque MP INRA'!$N:$N,MATCH($A14,'Bibliothèque MP INRA'!$C:$C,0)),"")</f>
        <v/>
      </c>
      <c r="V14" t="str">
        <f t="shared" si="9"/>
        <v/>
      </c>
      <c r="W14" t="str">
        <f>IFERROR(INDEX('Bibliothèque MP INRA'!$O:$O,MATCH($A14,'Bibliothèque MP INRA'!$C:$C,0)),"")</f>
        <v/>
      </c>
      <c r="X14" t="str">
        <f t="shared" si="10"/>
        <v/>
      </c>
      <c r="Y14" t="str">
        <f>IFERROR(INDEX('Bibliothèque MP INRA'!$P:$P,MATCH($A14,'Bibliothèque MP INRA'!$C:$C,0)),"")</f>
        <v/>
      </c>
      <c r="Z14" t="str">
        <f t="shared" si="11"/>
        <v/>
      </c>
      <c r="AA14" t="str">
        <f ca="1">IFERROR(XLOOKUP($A14,'Bibliothèque MP INRA'!$C:$C,'Bibliothèque MP INRA'!$N:$N),"")</f>
        <v/>
      </c>
      <c r="AB14" t="str">
        <f t="shared" ca="1" si="12"/>
        <v/>
      </c>
      <c r="AC14" t="str">
        <f>IFERROR(INDEX('Bibliothèque MP INRA'!$R:$R,MATCH($A14,'Bibliothèque MP INRA'!$C:$C,0)),"")</f>
        <v/>
      </c>
      <c r="AD14" t="str">
        <f t="shared" si="13"/>
        <v/>
      </c>
      <c r="AE14" t="str">
        <f>IFERROR(INDEX('Bibliothèque MP INRA'!$Q:$Q,MATCH($A14,'Bibliothèque MP INRA'!$C:$C,0)),"")</f>
        <v/>
      </c>
      <c r="AF14" t="str">
        <f t="shared" si="14"/>
        <v/>
      </c>
      <c r="AG14" t="str">
        <f ca="1">IFERROR(XLOOKUP($A14,'Bibliothèque MP INRA'!$C:$C,'Bibliothèque MP INRA'!$B:$B),"")</f>
        <v/>
      </c>
      <c r="AH14" t="str">
        <f t="shared" ca="1" si="15"/>
        <v/>
      </c>
      <c r="AI14" t="str">
        <f>IFERROR(INDEX('Bibliothèque MP INRA'!$S:$S,MATCH($A14,'Bibliothèque MP INRA'!$C:$C,0)),"")</f>
        <v/>
      </c>
      <c r="AJ14" t="str">
        <f t="shared" si="16"/>
        <v/>
      </c>
    </row>
    <row r="15" spans="1:36" x14ac:dyDescent="0.35">
      <c r="C15" t="str">
        <f>IFERROR(INDEX('Bibliothèque MP INRA'!$D:$D,MATCH($A15,'Bibliothèque MP INRA'!$C:$C,0)),"")</f>
        <v/>
      </c>
      <c r="D15" t="str">
        <f t="shared" si="0"/>
        <v/>
      </c>
      <c r="E15" t="str">
        <f>IFERROR(INDEX('Bibliothèque MP INRA'!$E:$E,MATCH($A15,'Bibliothèque MP INRA'!$C:$C,0)),"")</f>
        <v/>
      </c>
      <c r="F15" t="str">
        <f t="shared" si="1"/>
        <v/>
      </c>
      <c r="G15" t="str">
        <f>IFERROR(INDEX('Bibliothèque MP INRA'!$I:$I,MATCH($A15,'Bibliothèque MP INRA'!$C:$C,0)),"")</f>
        <v/>
      </c>
      <c r="H15" t="str">
        <f t="shared" si="2"/>
        <v/>
      </c>
      <c r="I15" t="str">
        <f>IFERROR(INDEX('Bibliothèque MP INRA'!$G:$G,MATCH($A15,'Bibliothèque MP INRA'!$C:$C,0)),"")</f>
        <v/>
      </c>
      <c r="J15" t="str">
        <f t="shared" si="3"/>
        <v/>
      </c>
      <c r="K15" t="str">
        <f>IFERROR(INDEX('Bibliothèque MP INRA'!$H:$H,MATCH($A15,'Bibliothèque MP INRA'!$C:$C,0)),"")</f>
        <v/>
      </c>
      <c r="L15" t="str">
        <f t="shared" si="4"/>
        <v/>
      </c>
      <c r="M15" t="str">
        <f>IFERROR(INDEX('Bibliothèque MP INRA'!$J:$J,MATCH($A15,'Bibliothèque MP INRA'!$C:$C,0)),"")</f>
        <v/>
      </c>
      <c r="N15" t="str">
        <f t="shared" si="5"/>
        <v/>
      </c>
      <c r="O15" t="str">
        <f>IFERROR(INDEX('Bibliothèque MP INRA'!$K:$K,MATCH($A15,'Bibliothèque MP INRA'!$C:$C,0)),"")</f>
        <v/>
      </c>
      <c r="P15" t="str">
        <f t="shared" si="6"/>
        <v/>
      </c>
      <c r="Q15" t="str">
        <f>IFERROR(INDEX('Bibliothèque MP INRA'!$L:$L,MATCH($A15,'Bibliothèque MP INRA'!$C:$C,0)),"")</f>
        <v/>
      </c>
      <c r="R15" t="str">
        <f t="shared" si="7"/>
        <v/>
      </c>
      <c r="S15" t="str">
        <f>IFERROR(INDEX('Bibliothèque MP INRA'!$M:$M,MATCH($A15,'Bibliothèque MP INRA'!$C:$C,0)),"")</f>
        <v/>
      </c>
      <c r="T15" t="str">
        <f t="shared" si="8"/>
        <v/>
      </c>
      <c r="U15" t="str">
        <f>IFERROR(INDEX('Bibliothèque MP INRA'!$N:$N,MATCH($A15,'Bibliothèque MP INRA'!$C:$C,0)),"")</f>
        <v/>
      </c>
      <c r="V15" t="str">
        <f t="shared" si="9"/>
        <v/>
      </c>
      <c r="W15" t="str">
        <f>IFERROR(INDEX('Bibliothèque MP INRA'!$O:$O,MATCH($A15,'Bibliothèque MP INRA'!$C:$C,0)),"")</f>
        <v/>
      </c>
      <c r="X15" t="str">
        <f t="shared" si="10"/>
        <v/>
      </c>
      <c r="Y15" t="str">
        <f>IFERROR(INDEX('Bibliothèque MP INRA'!$P:$P,MATCH($A15,'Bibliothèque MP INRA'!$C:$C,0)),"")</f>
        <v/>
      </c>
      <c r="Z15" t="str">
        <f t="shared" si="11"/>
        <v/>
      </c>
      <c r="AA15" t="str">
        <f ca="1">IFERROR(XLOOKUP($A15,'Bibliothèque MP INRA'!$C:$C,'Bibliothèque MP INRA'!$N:$N),"")</f>
        <v/>
      </c>
      <c r="AB15" t="str">
        <f t="shared" ca="1" si="12"/>
        <v/>
      </c>
      <c r="AC15" t="str">
        <f>IFERROR(INDEX('Bibliothèque MP INRA'!$R:$R,MATCH($A15,'Bibliothèque MP INRA'!$C:$C,0)),"")</f>
        <v/>
      </c>
      <c r="AD15" t="str">
        <f t="shared" si="13"/>
        <v/>
      </c>
      <c r="AE15" t="str">
        <f>IFERROR(INDEX('Bibliothèque MP INRA'!$Q:$Q,MATCH($A15,'Bibliothèque MP INRA'!$C:$C,0)),"")</f>
        <v/>
      </c>
      <c r="AF15" t="str">
        <f t="shared" si="14"/>
        <v/>
      </c>
      <c r="AG15" t="str">
        <f ca="1">IFERROR(XLOOKUP($A15,'Bibliothèque MP INRA'!$C:$C,'Bibliothèque MP INRA'!$B:$B),"")</f>
        <v/>
      </c>
      <c r="AH15" t="str">
        <f t="shared" ca="1" si="15"/>
        <v/>
      </c>
      <c r="AI15" t="str">
        <f>IFERROR(INDEX('Bibliothèque MP INRA'!$S:$S,MATCH($A15,'Bibliothèque MP INRA'!$C:$C,0)),"")</f>
        <v/>
      </c>
      <c r="AJ15" t="str">
        <f t="shared" si="16"/>
        <v/>
      </c>
    </row>
    <row r="16" spans="1:36" x14ac:dyDescent="0.35">
      <c r="C16" t="str">
        <f>IFERROR(INDEX('Bibliothèque MP INRA'!$D:$D,MATCH($A16,'Bibliothèque MP INRA'!$C:$C,0)),"")</f>
        <v/>
      </c>
      <c r="D16" t="str">
        <f t="shared" si="0"/>
        <v/>
      </c>
      <c r="E16" t="str">
        <f>IFERROR(INDEX('Bibliothèque MP INRA'!$E:$E,MATCH($A16,'Bibliothèque MP INRA'!$C:$C,0)),"")</f>
        <v/>
      </c>
      <c r="F16" t="str">
        <f t="shared" si="1"/>
        <v/>
      </c>
      <c r="G16" t="str">
        <f>IFERROR(INDEX('Bibliothèque MP INRA'!$I:$I,MATCH($A16,'Bibliothèque MP INRA'!$C:$C,0)),"")</f>
        <v/>
      </c>
      <c r="H16" t="str">
        <f t="shared" si="2"/>
        <v/>
      </c>
      <c r="I16" t="str">
        <f>IFERROR(INDEX('Bibliothèque MP INRA'!$G:$G,MATCH($A16,'Bibliothèque MP INRA'!$C:$C,0)),"")</f>
        <v/>
      </c>
      <c r="J16" t="str">
        <f t="shared" si="3"/>
        <v/>
      </c>
      <c r="K16" t="str">
        <f>IFERROR(INDEX('Bibliothèque MP INRA'!$H:$H,MATCH($A16,'Bibliothèque MP INRA'!$C:$C,0)),"")</f>
        <v/>
      </c>
      <c r="L16" t="str">
        <f t="shared" si="4"/>
        <v/>
      </c>
      <c r="M16" t="str">
        <f>IFERROR(INDEX('Bibliothèque MP INRA'!$J:$J,MATCH($A16,'Bibliothèque MP INRA'!$C:$C,0)),"")</f>
        <v/>
      </c>
      <c r="N16" t="str">
        <f t="shared" si="5"/>
        <v/>
      </c>
      <c r="O16" t="str">
        <f>IFERROR(INDEX('Bibliothèque MP INRA'!$K:$K,MATCH($A16,'Bibliothèque MP INRA'!$C:$C,0)),"")</f>
        <v/>
      </c>
      <c r="P16" t="str">
        <f t="shared" si="6"/>
        <v/>
      </c>
      <c r="Q16" t="str">
        <f>IFERROR(INDEX('Bibliothèque MP INRA'!$L:$L,MATCH($A16,'Bibliothèque MP INRA'!$C:$C,0)),"")</f>
        <v/>
      </c>
      <c r="R16" t="str">
        <f t="shared" si="7"/>
        <v/>
      </c>
      <c r="S16" t="str">
        <f>IFERROR(INDEX('Bibliothèque MP INRA'!$M:$M,MATCH($A16,'Bibliothèque MP INRA'!$C:$C,0)),"")</f>
        <v/>
      </c>
      <c r="T16" t="str">
        <f t="shared" si="8"/>
        <v/>
      </c>
      <c r="U16" t="str">
        <f>IFERROR(INDEX('Bibliothèque MP INRA'!$N:$N,MATCH($A16,'Bibliothèque MP INRA'!$C:$C,0)),"")</f>
        <v/>
      </c>
      <c r="V16" t="str">
        <f t="shared" si="9"/>
        <v/>
      </c>
      <c r="W16" t="str">
        <f>IFERROR(INDEX('Bibliothèque MP INRA'!$O:$O,MATCH($A16,'Bibliothèque MP INRA'!$C:$C,0)),"")</f>
        <v/>
      </c>
      <c r="X16" t="str">
        <f t="shared" si="10"/>
        <v/>
      </c>
      <c r="Y16" t="str">
        <f>IFERROR(INDEX('Bibliothèque MP INRA'!$P:$P,MATCH($A16,'Bibliothèque MP INRA'!$C:$C,0)),"")</f>
        <v/>
      </c>
      <c r="Z16" t="str">
        <f t="shared" si="11"/>
        <v/>
      </c>
      <c r="AA16" t="str">
        <f ca="1">IFERROR(XLOOKUP($A16,'Bibliothèque MP INRA'!$C:$C,'Bibliothèque MP INRA'!$N:$N),"")</f>
        <v/>
      </c>
      <c r="AB16" t="str">
        <f t="shared" ca="1" si="12"/>
        <v/>
      </c>
      <c r="AC16" t="str">
        <f>IFERROR(INDEX('Bibliothèque MP INRA'!$R:$R,MATCH($A16,'Bibliothèque MP INRA'!$C:$C,0)),"")</f>
        <v/>
      </c>
      <c r="AD16" t="str">
        <f t="shared" si="13"/>
        <v/>
      </c>
      <c r="AE16" t="str">
        <f>IFERROR(INDEX('Bibliothèque MP INRA'!$Q:$Q,MATCH($A16,'Bibliothèque MP INRA'!$C:$C,0)),"")</f>
        <v/>
      </c>
      <c r="AF16" t="str">
        <f t="shared" si="14"/>
        <v/>
      </c>
      <c r="AG16" t="str">
        <f ca="1">IFERROR(XLOOKUP($A16,'Bibliothèque MP INRA'!$C:$C,'Bibliothèque MP INRA'!$B:$B),"")</f>
        <v/>
      </c>
      <c r="AH16" t="str">
        <f t="shared" ca="1" si="15"/>
        <v/>
      </c>
      <c r="AI16" t="str">
        <f>IFERROR(INDEX('Bibliothèque MP INRA'!$S:$S,MATCH($A16,'Bibliothèque MP INRA'!$C:$C,0)),"")</f>
        <v/>
      </c>
      <c r="AJ16" t="str">
        <f t="shared" si="16"/>
        <v/>
      </c>
    </row>
    <row r="17" spans="3:36" x14ac:dyDescent="0.35">
      <c r="C17" t="str">
        <f>IFERROR(INDEX('Bibliothèque MP INRA'!$D:$D,MATCH($A17,'Bibliothèque MP INRA'!$C:$C,0)),"")</f>
        <v/>
      </c>
      <c r="D17" t="str">
        <f t="shared" si="0"/>
        <v/>
      </c>
      <c r="E17" t="str">
        <f>IFERROR(INDEX('Bibliothèque MP INRA'!$E:$E,MATCH($A17,'Bibliothèque MP INRA'!$C:$C,0)),"")</f>
        <v/>
      </c>
      <c r="F17" t="str">
        <f t="shared" si="1"/>
        <v/>
      </c>
      <c r="G17" t="str">
        <f>IFERROR(INDEX('Bibliothèque MP INRA'!$I:$I,MATCH($A17,'Bibliothèque MP INRA'!$C:$C,0)),"")</f>
        <v/>
      </c>
      <c r="H17" t="str">
        <f t="shared" si="2"/>
        <v/>
      </c>
      <c r="I17" t="str">
        <f>IFERROR(INDEX('Bibliothèque MP INRA'!$G:$G,MATCH($A17,'Bibliothèque MP INRA'!$C:$C,0)),"")</f>
        <v/>
      </c>
      <c r="J17" t="str">
        <f t="shared" si="3"/>
        <v/>
      </c>
      <c r="K17" t="str">
        <f>IFERROR(INDEX('Bibliothèque MP INRA'!$H:$H,MATCH($A17,'Bibliothèque MP INRA'!$C:$C,0)),"")</f>
        <v/>
      </c>
      <c r="L17" t="str">
        <f t="shared" si="4"/>
        <v/>
      </c>
      <c r="M17" t="str">
        <f>IFERROR(INDEX('Bibliothèque MP INRA'!$J:$J,MATCH($A17,'Bibliothèque MP INRA'!$C:$C,0)),"")</f>
        <v/>
      </c>
      <c r="N17" t="str">
        <f t="shared" si="5"/>
        <v/>
      </c>
      <c r="O17" t="str">
        <f>IFERROR(INDEX('Bibliothèque MP INRA'!$K:$K,MATCH($A17,'Bibliothèque MP INRA'!$C:$C,0)),"")</f>
        <v/>
      </c>
      <c r="P17" t="str">
        <f t="shared" si="6"/>
        <v/>
      </c>
      <c r="Q17" t="str">
        <f>IFERROR(INDEX('Bibliothèque MP INRA'!$L:$L,MATCH($A17,'Bibliothèque MP INRA'!$C:$C,0)),"")</f>
        <v/>
      </c>
      <c r="R17" t="str">
        <f t="shared" si="7"/>
        <v/>
      </c>
      <c r="S17" t="str">
        <f>IFERROR(INDEX('Bibliothèque MP INRA'!$M:$M,MATCH($A17,'Bibliothèque MP INRA'!$C:$C,0)),"")</f>
        <v/>
      </c>
      <c r="T17" t="str">
        <f t="shared" si="8"/>
        <v/>
      </c>
      <c r="U17" t="str">
        <f>IFERROR(INDEX('Bibliothèque MP INRA'!$N:$N,MATCH($A17,'Bibliothèque MP INRA'!$C:$C,0)),"")</f>
        <v/>
      </c>
      <c r="V17" t="str">
        <f t="shared" si="9"/>
        <v/>
      </c>
      <c r="W17" t="str">
        <f>IFERROR(INDEX('Bibliothèque MP INRA'!$O:$O,MATCH($A17,'Bibliothèque MP INRA'!$C:$C,0)),"")</f>
        <v/>
      </c>
      <c r="X17" t="str">
        <f t="shared" si="10"/>
        <v/>
      </c>
      <c r="Y17" t="str">
        <f>IFERROR(INDEX('Bibliothèque MP INRA'!$P:$P,MATCH($A17,'Bibliothèque MP INRA'!$C:$C,0)),"")</f>
        <v/>
      </c>
      <c r="Z17" t="str">
        <f t="shared" si="11"/>
        <v/>
      </c>
      <c r="AA17" t="str">
        <f ca="1">IFERROR(XLOOKUP($A17,'Bibliothèque MP INRA'!$C:$C,'Bibliothèque MP INRA'!$N:$N),"")</f>
        <v/>
      </c>
      <c r="AB17" t="str">
        <f t="shared" ca="1" si="12"/>
        <v/>
      </c>
      <c r="AC17" t="str">
        <f>IFERROR(INDEX('Bibliothèque MP INRA'!$R:$R,MATCH($A17,'Bibliothèque MP INRA'!$C:$C,0)),"")</f>
        <v/>
      </c>
      <c r="AD17" t="str">
        <f t="shared" si="13"/>
        <v/>
      </c>
      <c r="AE17" t="str">
        <f>IFERROR(INDEX('Bibliothèque MP INRA'!$Q:$Q,MATCH($A17,'Bibliothèque MP INRA'!$C:$C,0)),"")</f>
        <v/>
      </c>
      <c r="AF17" t="str">
        <f t="shared" si="14"/>
        <v/>
      </c>
      <c r="AG17" t="str">
        <f ca="1">IFERROR(XLOOKUP($A17,'Bibliothèque MP INRA'!$C:$C,'Bibliothèque MP INRA'!$B:$B),"")</f>
        <v/>
      </c>
      <c r="AH17" t="str">
        <f t="shared" ca="1" si="15"/>
        <v/>
      </c>
      <c r="AI17" t="str">
        <f>IFERROR(INDEX('Bibliothèque MP INRA'!$S:$S,MATCH($A17,'Bibliothèque MP INRA'!$C:$C,0)),"")</f>
        <v/>
      </c>
      <c r="AJ17" t="str">
        <f t="shared" si="16"/>
        <v/>
      </c>
    </row>
    <row r="18" spans="3:36" x14ac:dyDescent="0.35">
      <c r="C18" t="str">
        <f>IFERROR(INDEX('Bibliothèque MP INRA'!$D:$D,MATCH($A18,'Bibliothèque MP INRA'!$C:$C,0)),"")</f>
        <v/>
      </c>
      <c r="D18" t="str">
        <f t="shared" si="0"/>
        <v/>
      </c>
      <c r="E18" t="str">
        <f>IFERROR(INDEX('Bibliothèque MP INRA'!$E:$E,MATCH($A18,'Bibliothèque MP INRA'!$C:$C,0)),"")</f>
        <v/>
      </c>
      <c r="F18" t="str">
        <f t="shared" si="1"/>
        <v/>
      </c>
      <c r="G18" t="str">
        <f>IFERROR(INDEX('Bibliothèque MP INRA'!$I:$I,MATCH($A18,'Bibliothèque MP INRA'!$C:$C,0)),"")</f>
        <v/>
      </c>
      <c r="H18" t="str">
        <f t="shared" si="2"/>
        <v/>
      </c>
      <c r="I18" t="str">
        <f>IFERROR(INDEX('Bibliothèque MP INRA'!$G:$G,MATCH($A18,'Bibliothèque MP INRA'!$C:$C,0)),"")</f>
        <v/>
      </c>
      <c r="J18" t="str">
        <f t="shared" si="3"/>
        <v/>
      </c>
      <c r="K18" t="str">
        <f>IFERROR(INDEX('Bibliothèque MP INRA'!$H:$H,MATCH($A18,'Bibliothèque MP INRA'!$C:$C,0)),"")</f>
        <v/>
      </c>
      <c r="L18" t="str">
        <f t="shared" si="4"/>
        <v/>
      </c>
      <c r="M18" t="str">
        <f>IFERROR(INDEX('Bibliothèque MP INRA'!$J:$J,MATCH($A18,'Bibliothèque MP INRA'!$C:$C,0)),"")</f>
        <v/>
      </c>
      <c r="N18" t="str">
        <f t="shared" si="5"/>
        <v/>
      </c>
      <c r="O18" t="str">
        <f>IFERROR(INDEX('Bibliothèque MP INRA'!$K:$K,MATCH($A18,'Bibliothèque MP INRA'!$C:$C,0)),"")</f>
        <v/>
      </c>
      <c r="P18" t="str">
        <f t="shared" si="6"/>
        <v/>
      </c>
      <c r="Q18" t="str">
        <f>IFERROR(INDEX('Bibliothèque MP INRA'!$L:$L,MATCH($A18,'Bibliothèque MP INRA'!$C:$C,0)),"")</f>
        <v/>
      </c>
      <c r="R18" t="str">
        <f t="shared" si="7"/>
        <v/>
      </c>
      <c r="S18" t="str">
        <f>IFERROR(INDEX('Bibliothèque MP INRA'!$M:$M,MATCH($A18,'Bibliothèque MP INRA'!$C:$C,0)),"")</f>
        <v/>
      </c>
      <c r="T18" t="str">
        <f t="shared" si="8"/>
        <v/>
      </c>
      <c r="U18" t="str">
        <f>IFERROR(INDEX('Bibliothèque MP INRA'!$N:$N,MATCH($A18,'Bibliothèque MP INRA'!$C:$C,0)),"")</f>
        <v/>
      </c>
      <c r="V18" t="str">
        <f t="shared" si="9"/>
        <v/>
      </c>
      <c r="W18" t="str">
        <f>IFERROR(INDEX('Bibliothèque MP INRA'!$O:$O,MATCH($A18,'Bibliothèque MP INRA'!$C:$C,0)),"")</f>
        <v/>
      </c>
      <c r="X18" t="str">
        <f t="shared" si="10"/>
        <v/>
      </c>
      <c r="Y18" t="str">
        <f>IFERROR(INDEX('Bibliothèque MP INRA'!$P:$P,MATCH($A18,'Bibliothèque MP INRA'!$C:$C,0)),"")</f>
        <v/>
      </c>
      <c r="Z18" t="str">
        <f t="shared" si="11"/>
        <v/>
      </c>
      <c r="AA18" t="str">
        <f ca="1">IFERROR(XLOOKUP($A18,'Bibliothèque MP INRA'!$C:$C,'Bibliothèque MP INRA'!$N:$N),"")</f>
        <v/>
      </c>
      <c r="AB18" t="str">
        <f t="shared" ca="1" si="12"/>
        <v/>
      </c>
      <c r="AC18" t="str">
        <f>IFERROR(INDEX('Bibliothèque MP INRA'!$R:$R,MATCH($A18,'Bibliothèque MP INRA'!$C:$C,0)),"")</f>
        <v/>
      </c>
      <c r="AD18" t="str">
        <f t="shared" si="13"/>
        <v/>
      </c>
      <c r="AE18" t="str">
        <f>IFERROR(INDEX('Bibliothèque MP INRA'!$Q:$Q,MATCH($A18,'Bibliothèque MP INRA'!$C:$C,0)),"")</f>
        <v/>
      </c>
      <c r="AF18" t="str">
        <f t="shared" si="14"/>
        <v/>
      </c>
      <c r="AG18" t="str">
        <f ca="1">IFERROR(XLOOKUP($A18,'Bibliothèque MP INRA'!$C:$C,'Bibliothèque MP INRA'!$B:$B),"")</f>
        <v/>
      </c>
      <c r="AH18" t="str">
        <f t="shared" ca="1" si="15"/>
        <v/>
      </c>
      <c r="AI18" t="str">
        <f>IFERROR(INDEX('Bibliothèque MP INRA'!$S:$S,MATCH($A18,'Bibliothèque MP INRA'!$C:$C,0)),"")</f>
        <v/>
      </c>
      <c r="AJ18" t="str">
        <f t="shared" si="16"/>
        <v/>
      </c>
    </row>
    <row r="19" spans="3:36" x14ac:dyDescent="0.35">
      <c r="C19" t="str">
        <f>IFERROR(INDEX('Bibliothèque MP INRA'!$D:$D,MATCH($A19,'Bibliothèque MP INRA'!$C:$C,0)),"")</f>
        <v/>
      </c>
      <c r="D19" t="str">
        <f t="shared" si="0"/>
        <v/>
      </c>
      <c r="E19" t="str">
        <f>IFERROR(INDEX('Bibliothèque MP INRA'!$E:$E,MATCH($A19,'Bibliothèque MP INRA'!$C:$C,0)),"")</f>
        <v/>
      </c>
      <c r="F19" t="str">
        <f t="shared" si="1"/>
        <v/>
      </c>
      <c r="G19" t="str">
        <f>IFERROR(INDEX('Bibliothèque MP INRA'!$I:$I,MATCH($A19,'Bibliothèque MP INRA'!$C:$C,0)),"")</f>
        <v/>
      </c>
      <c r="H19" t="str">
        <f t="shared" si="2"/>
        <v/>
      </c>
      <c r="I19" t="str">
        <f>IFERROR(INDEX('Bibliothèque MP INRA'!$G:$G,MATCH($A19,'Bibliothèque MP INRA'!$C:$C,0)),"")</f>
        <v/>
      </c>
      <c r="J19" t="str">
        <f t="shared" si="3"/>
        <v/>
      </c>
      <c r="K19" t="str">
        <f>IFERROR(INDEX('Bibliothèque MP INRA'!$H:$H,MATCH($A19,'Bibliothèque MP INRA'!$C:$C,0)),"")</f>
        <v/>
      </c>
      <c r="L19" t="str">
        <f t="shared" si="4"/>
        <v/>
      </c>
      <c r="M19" t="str">
        <f>IFERROR(INDEX('Bibliothèque MP INRA'!$J:$J,MATCH($A19,'Bibliothèque MP INRA'!$C:$C,0)),"")</f>
        <v/>
      </c>
      <c r="N19" t="str">
        <f t="shared" si="5"/>
        <v/>
      </c>
      <c r="O19" t="str">
        <f>IFERROR(INDEX('Bibliothèque MP INRA'!$K:$K,MATCH($A19,'Bibliothèque MP INRA'!$C:$C,0)),"")</f>
        <v/>
      </c>
      <c r="P19" t="str">
        <f t="shared" si="6"/>
        <v/>
      </c>
      <c r="Q19" t="str">
        <f>IFERROR(INDEX('Bibliothèque MP INRA'!$L:$L,MATCH($A19,'Bibliothèque MP INRA'!$C:$C,0)),"")</f>
        <v/>
      </c>
      <c r="R19" t="str">
        <f t="shared" si="7"/>
        <v/>
      </c>
      <c r="S19" t="str">
        <f>IFERROR(INDEX('Bibliothèque MP INRA'!$M:$M,MATCH($A19,'Bibliothèque MP INRA'!$C:$C,0)),"")</f>
        <v/>
      </c>
      <c r="T19" t="str">
        <f t="shared" si="8"/>
        <v/>
      </c>
      <c r="U19" t="str">
        <f>IFERROR(INDEX('Bibliothèque MP INRA'!$N:$N,MATCH($A19,'Bibliothèque MP INRA'!$C:$C,0)),"")</f>
        <v/>
      </c>
      <c r="V19" t="str">
        <f t="shared" si="9"/>
        <v/>
      </c>
      <c r="W19" t="str">
        <f>IFERROR(INDEX('Bibliothèque MP INRA'!$O:$O,MATCH($A19,'Bibliothèque MP INRA'!$C:$C,0)),"")</f>
        <v/>
      </c>
      <c r="X19" t="str">
        <f t="shared" si="10"/>
        <v/>
      </c>
      <c r="Y19" t="str">
        <f>IFERROR(INDEX('Bibliothèque MP INRA'!$P:$P,MATCH($A19,'Bibliothèque MP INRA'!$C:$C,0)),"")</f>
        <v/>
      </c>
      <c r="Z19" t="str">
        <f t="shared" si="11"/>
        <v/>
      </c>
      <c r="AA19" t="str">
        <f ca="1">IFERROR(XLOOKUP($A19,'Bibliothèque MP INRA'!$C:$C,'Bibliothèque MP INRA'!$N:$N),"")</f>
        <v/>
      </c>
      <c r="AB19" t="str">
        <f t="shared" ca="1" si="12"/>
        <v/>
      </c>
      <c r="AC19" t="str">
        <f>IFERROR(INDEX('Bibliothèque MP INRA'!$R:$R,MATCH($A19,'Bibliothèque MP INRA'!$C:$C,0)),"")</f>
        <v/>
      </c>
      <c r="AD19" t="str">
        <f t="shared" si="13"/>
        <v/>
      </c>
      <c r="AE19" t="str">
        <f>IFERROR(INDEX('Bibliothèque MP INRA'!$Q:$Q,MATCH($A19,'Bibliothèque MP INRA'!$C:$C,0)),"")</f>
        <v/>
      </c>
      <c r="AF19" t="str">
        <f t="shared" si="14"/>
        <v/>
      </c>
      <c r="AG19" t="str">
        <f ca="1">IFERROR(XLOOKUP($A19,'Bibliothèque MP INRA'!$C:$C,'Bibliothèque MP INRA'!$B:$B),"")</f>
        <v/>
      </c>
      <c r="AH19" t="str">
        <f t="shared" ca="1" si="15"/>
        <v/>
      </c>
      <c r="AI19" t="str">
        <f>IFERROR(INDEX('Bibliothèque MP INRA'!$S:$S,MATCH($A19,'Bibliothèque MP INRA'!$C:$C,0)),"")</f>
        <v/>
      </c>
      <c r="AJ19" t="str">
        <f t="shared" si="16"/>
        <v/>
      </c>
    </row>
    <row r="20" spans="3:36" x14ac:dyDescent="0.35">
      <c r="C20" t="str">
        <f>IFERROR(INDEX('Bibliothèque MP INRA'!$D:$D,MATCH($A20,'Bibliothèque MP INRA'!$C:$C,0)),"")</f>
        <v/>
      </c>
      <c r="D20" t="str">
        <f t="shared" si="0"/>
        <v/>
      </c>
      <c r="E20" t="str">
        <f>IFERROR(INDEX('Bibliothèque MP INRA'!$E:$E,MATCH($A20,'Bibliothèque MP INRA'!$C:$C,0)),"")</f>
        <v/>
      </c>
      <c r="F20" t="str">
        <f t="shared" si="1"/>
        <v/>
      </c>
      <c r="G20" t="str">
        <f>IFERROR(INDEX('Bibliothèque MP INRA'!$I:$I,MATCH($A20,'Bibliothèque MP INRA'!$C:$C,0)),"")</f>
        <v/>
      </c>
      <c r="H20" t="str">
        <f t="shared" si="2"/>
        <v/>
      </c>
      <c r="I20" t="str">
        <f>IFERROR(INDEX('Bibliothèque MP INRA'!$G:$G,MATCH($A20,'Bibliothèque MP INRA'!$C:$C,0)),"")</f>
        <v/>
      </c>
      <c r="J20" t="str">
        <f t="shared" si="3"/>
        <v/>
      </c>
      <c r="K20" t="str">
        <f>IFERROR(INDEX('Bibliothèque MP INRA'!$H:$H,MATCH($A20,'Bibliothèque MP INRA'!$C:$C,0)),"")</f>
        <v/>
      </c>
      <c r="L20" t="str">
        <f t="shared" si="4"/>
        <v/>
      </c>
      <c r="M20" t="str">
        <f>IFERROR(INDEX('Bibliothèque MP INRA'!$J:$J,MATCH($A20,'Bibliothèque MP INRA'!$C:$C,0)),"")</f>
        <v/>
      </c>
      <c r="N20" t="str">
        <f t="shared" si="5"/>
        <v/>
      </c>
      <c r="O20" t="str">
        <f>IFERROR(INDEX('Bibliothèque MP INRA'!$K:$K,MATCH($A20,'Bibliothèque MP INRA'!$C:$C,0)),"")</f>
        <v/>
      </c>
      <c r="P20" t="str">
        <f t="shared" si="6"/>
        <v/>
      </c>
      <c r="Q20" t="str">
        <f>IFERROR(INDEX('Bibliothèque MP INRA'!$L:$L,MATCH($A20,'Bibliothèque MP INRA'!$C:$C,0)),"")</f>
        <v/>
      </c>
      <c r="R20" t="str">
        <f t="shared" si="7"/>
        <v/>
      </c>
      <c r="S20" t="str">
        <f>IFERROR(INDEX('Bibliothèque MP INRA'!$M:$M,MATCH($A20,'Bibliothèque MP INRA'!$C:$C,0)),"")</f>
        <v/>
      </c>
      <c r="T20" t="str">
        <f t="shared" si="8"/>
        <v/>
      </c>
      <c r="U20" t="str">
        <f>IFERROR(INDEX('Bibliothèque MP INRA'!$N:$N,MATCH($A20,'Bibliothèque MP INRA'!$C:$C,0)),"")</f>
        <v/>
      </c>
      <c r="V20" t="str">
        <f t="shared" si="9"/>
        <v/>
      </c>
      <c r="W20" t="str">
        <f>IFERROR(INDEX('Bibliothèque MP INRA'!$O:$O,MATCH($A20,'Bibliothèque MP INRA'!$C:$C,0)),"")</f>
        <v/>
      </c>
      <c r="X20" t="str">
        <f t="shared" si="10"/>
        <v/>
      </c>
      <c r="Y20" t="str">
        <f>IFERROR(INDEX('Bibliothèque MP INRA'!$P:$P,MATCH($A20,'Bibliothèque MP INRA'!$C:$C,0)),"")</f>
        <v/>
      </c>
      <c r="Z20" t="str">
        <f t="shared" si="11"/>
        <v/>
      </c>
      <c r="AA20" t="str">
        <f ca="1">IFERROR(XLOOKUP($A20,'Bibliothèque MP INRA'!$C:$C,'Bibliothèque MP INRA'!$N:$N),"")</f>
        <v/>
      </c>
      <c r="AB20" t="str">
        <f t="shared" ca="1" si="12"/>
        <v/>
      </c>
      <c r="AC20" t="str">
        <f>IFERROR(INDEX('Bibliothèque MP INRA'!$R:$R,MATCH($A20,'Bibliothèque MP INRA'!$C:$C,0)),"")</f>
        <v/>
      </c>
      <c r="AD20" t="str">
        <f t="shared" si="13"/>
        <v/>
      </c>
      <c r="AE20" t="str">
        <f>IFERROR(INDEX('Bibliothèque MP INRA'!$Q:$Q,MATCH($A20,'Bibliothèque MP INRA'!$C:$C,0)),"")</f>
        <v/>
      </c>
      <c r="AF20" t="str">
        <f t="shared" si="14"/>
        <v/>
      </c>
      <c r="AG20" t="str">
        <f ca="1">IFERROR(XLOOKUP($A20,'Bibliothèque MP INRA'!$C:$C,'Bibliothèque MP INRA'!$B:$B),"")</f>
        <v/>
      </c>
      <c r="AH20" t="str">
        <f t="shared" ca="1" si="15"/>
        <v/>
      </c>
      <c r="AI20" t="str">
        <f>IFERROR(INDEX('Bibliothèque MP INRA'!$S:$S,MATCH($A20,'Bibliothèque MP INRA'!$C:$C,0)),"")</f>
        <v/>
      </c>
      <c r="AJ20" t="str">
        <f t="shared" si="16"/>
        <v/>
      </c>
    </row>
    <row r="21" spans="3:36" x14ac:dyDescent="0.35">
      <c r="C21" t="str">
        <f>IFERROR(INDEX('Bibliothèque MP INRA'!$D:$D,MATCH($A21,'Bibliothèque MP INRA'!$C:$C,0)),"")</f>
        <v/>
      </c>
      <c r="D21" t="str">
        <f t="shared" si="0"/>
        <v/>
      </c>
      <c r="E21" t="str">
        <f>IFERROR(INDEX('Bibliothèque MP INRA'!$E:$E,MATCH($A21,'Bibliothèque MP INRA'!$C:$C,0)),"")</f>
        <v/>
      </c>
      <c r="F21" t="str">
        <f t="shared" si="1"/>
        <v/>
      </c>
      <c r="G21" t="str">
        <f>IFERROR(INDEX('Bibliothèque MP INRA'!$I:$I,MATCH($A21,'Bibliothèque MP INRA'!$C:$C,0)),"")</f>
        <v/>
      </c>
      <c r="H21" t="str">
        <f t="shared" si="2"/>
        <v/>
      </c>
      <c r="I21" t="str">
        <f>IFERROR(INDEX('Bibliothèque MP INRA'!$G:$G,MATCH($A21,'Bibliothèque MP INRA'!$C:$C,0)),"")</f>
        <v/>
      </c>
      <c r="J21" t="str">
        <f t="shared" si="3"/>
        <v/>
      </c>
      <c r="K21" t="str">
        <f>IFERROR(INDEX('Bibliothèque MP INRA'!$H:$H,MATCH($A21,'Bibliothèque MP INRA'!$C:$C,0)),"")</f>
        <v/>
      </c>
      <c r="L21" t="str">
        <f t="shared" si="4"/>
        <v/>
      </c>
      <c r="M21" t="str">
        <f>IFERROR(INDEX('Bibliothèque MP INRA'!$J:$J,MATCH($A21,'Bibliothèque MP INRA'!$C:$C,0)),"")</f>
        <v/>
      </c>
      <c r="N21" t="str">
        <f t="shared" si="5"/>
        <v/>
      </c>
      <c r="O21" t="str">
        <f>IFERROR(INDEX('Bibliothèque MP INRA'!$K:$K,MATCH($A21,'Bibliothèque MP INRA'!$C:$C,0)),"")</f>
        <v/>
      </c>
      <c r="P21" t="str">
        <f t="shared" si="6"/>
        <v/>
      </c>
      <c r="Q21" t="str">
        <f>IFERROR(INDEX('Bibliothèque MP INRA'!$L:$L,MATCH($A21,'Bibliothèque MP INRA'!$C:$C,0)),"")</f>
        <v/>
      </c>
      <c r="R21" t="str">
        <f t="shared" si="7"/>
        <v/>
      </c>
      <c r="S21" t="str">
        <f>IFERROR(INDEX('Bibliothèque MP INRA'!$M:$M,MATCH($A21,'Bibliothèque MP INRA'!$C:$C,0)),"")</f>
        <v/>
      </c>
      <c r="T21" t="str">
        <f t="shared" si="8"/>
        <v/>
      </c>
      <c r="U21" t="str">
        <f>IFERROR(INDEX('Bibliothèque MP INRA'!$N:$N,MATCH($A21,'Bibliothèque MP INRA'!$C:$C,0)),"")</f>
        <v/>
      </c>
      <c r="V21" t="str">
        <f t="shared" si="9"/>
        <v/>
      </c>
      <c r="W21" t="str">
        <f>IFERROR(INDEX('Bibliothèque MP INRA'!$O:$O,MATCH($A21,'Bibliothèque MP INRA'!$C:$C,0)),"")</f>
        <v/>
      </c>
      <c r="X21" t="str">
        <f t="shared" si="10"/>
        <v/>
      </c>
      <c r="Y21" t="str">
        <f>IFERROR(INDEX('Bibliothèque MP INRA'!$P:$P,MATCH($A21,'Bibliothèque MP INRA'!$C:$C,0)),"")</f>
        <v/>
      </c>
      <c r="Z21" t="str">
        <f t="shared" si="11"/>
        <v/>
      </c>
      <c r="AA21" t="str">
        <f ca="1">IFERROR(XLOOKUP($A21,'Bibliothèque MP INRA'!$C:$C,'Bibliothèque MP INRA'!$N:$N),"")</f>
        <v/>
      </c>
      <c r="AB21" t="str">
        <f t="shared" ca="1" si="12"/>
        <v/>
      </c>
      <c r="AC21" t="str">
        <f>IFERROR(INDEX('Bibliothèque MP INRA'!$R:$R,MATCH($A21,'Bibliothèque MP INRA'!$C:$C,0)),"")</f>
        <v/>
      </c>
      <c r="AD21" t="str">
        <f t="shared" si="13"/>
        <v/>
      </c>
      <c r="AE21" t="str">
        <f>IFERROR(INDEX('Bibliothèque MP INRA'!$Q:$Q,MATCH($A21,'Bibliothèque MP INRA'!$C:$C,0)),"")</f>
        <v/>
      </c>
      <c r="AF21" t="str">
        <f t="shared" si="14"/>
        <v/>
      </c>
      <c r="AG21" t="str">
        <f ca="1">IFERROR(XLOOKUP($A21,'Bibliothèque MP INRA'!$C:$C,'Bibliothèque MP INRA'!$B:$B),"")</f>
        <v/>
      </c>
      <c r="AH21" t="str">
        <f t="shared" ca="1" si="15"/>
        <v/>
      </c>
      <c r="AI21" t="str">
        <f>IFERROR(INDEX('Bibliothèque MP INRA'!$S:$S,MATCH($A21,'Bibliothèque MP INRA'!$C:$C,0)),"")</f>
        <v/>
      </c>
      <c r="AJ21" t="str">
        <f t="shared" si="16"/>
        <v/>
      </c>
    </row>
    <row r="22" spans="3:36" x14ac:dyDescent="0.35">
      <c r="C22" t="str">
        <f>IFERROR(INDEX('Bibliothèque MP INRA'!$D:$D,MATCH($A22,'Bibliothèque MP INRA'!$C:$C,0)),"")</f>
        <v/>
      </c>
      <c r="D22" t="str">
        <f t="shared" si="0"/>
        <v/>
      </c>
      <c r="E22" t="str">
        <f>IFERROR(INDEX('Bibliothèque MP INRA'!$E:$E,MATCH($A22,'Bibliothèque MP INRA'!$C:$C,0)),"")</f>
        <v/>
      </c>
      <c r="F22" t="str">
        <f t="shared" si="1"/>
        <v/>
      </c>
      <c r="G22" t="str">
        <f>IFERROR(INDEX('Bibliothèque MP INRA'!$I:$I,MATCH($A22,'Bibliothèque MP INRA'!$C:$C,0)),"")</f>
        <v/>
      </c>
      <c r="H22" t="str">
        <f t="shared" si="2"/>
        <v/>
      </c>
      <c r="I22" t="str">
        <f>IFERROR(INDEX('Bibliothèque MP INRA'!$G:$G,MATCH($A22,'Bibliothèque MP INRA'!$C:$C,0)),"")</f>
        <v/>
      </c>
      <c r="J22" t="str">
        <f t="shared" si="3"/>
        <v/>
      </c>
      <c r="K22" t="str">
        <f>IFERROR(INDEX('Bibliothèque MP INRA'!$H:$H,MATCH($A22,'Bibliothèque MP INRA'!$C:$C,0)),"")</f>
        <v/>
      </c>
      <c r="L22" t="str">
        <f t="shared" si="4"/>
        <v/>
      </c>
      <c r="M22" t="str">
        <f>IFERROR(INDEX('Bibliothèque MP INRA'!$J:$J,MATCH($A22,'Bibliothèque MP INRA'!$C:$C,0)),"")</f>
        <v/>
      </c>
      <c r="N22" t="str">
        <f t="shared" si="5"/>
        <v/>
      </c>
      <c r="O22" t="str">
        <f>IFERROR(INDEX('Bibliothèque MP INRA'!$K:$K,MATCH($A22,'Bibliothèque MP INRA'!$C:$C,0)),"")</f>
        <v/>
      </c>
      <c r="P22" t="str">
        <f t="shared" si="6"/>
        <v/>
      </c>
      <c r="Q22" t="str">
        <f>IFERROR(INDEX('Bibliothèque MP INRA'!$L:$L,MATCH($A22,'Bibliothèque MP INRA'!$C:$C,0)),"")</f>
        <v/>
      </c>
      <c r="R22" t="str">
        <f t="shared" si="7"/>
        <v/>
      </c>
      <c r="S22" t="str">
        <f>IFERROR(INDEX('Bibliothèque MP INRA'!$M:$M,MATCH($A22,'Bibliothèque MP INRA'!$C:$C,0)),"")</f>
        <v/>
      </c>
      <c r="T22" t="str">
        <f t="shared" si="8"/>
        <v/>
      </c>
      <c r="U22" t="str">
        <f>IFERROR(INDEX('Bibliothèque MP INRA'!$N:$N,MATCH($A22,'Bibliothèque MP INRA'!$C:$C,0)),"")</f>
        <v/>
      </c>
      <c r="V22" t="str">
        <f t="shared" si="9"/>
        <v/>
      </c>
      <c r="W22" t="str">
        <f>IFERROR(INDEX('Bibliothèque MP INRA'!$O:$O,MATCH($A22,'Bibliothèque MP INRA'!$C:$C,0)),"")</f>
        <v/>
      </c>
      <c r="X22" t="str">
        <f t="shared" si="10"/>
        <v/>
      </c>
      <c r="Y22" t="str">
        <f>IFERROR(INDEX('Bibliothèque MP INRA'!$P:$P,MATCH($A22,'Bibliothèque MP INRA'!$C:$C,0)),"")</f>
        <v/>
      </c>
      <c r="Z22" t="str">
        <f t="shared" si="11"/>
        <v/>
      </c>
      <c r="AA22" t="str">
        <f ca="1">IFERROR(XLOOKUP($A22,'Bibliothèque MP INRA'!$C:$C,'Bibliothèque MP INRA'!$N:$N),"")</f>
        <v/>
      </c>
      <c r="AB22" t="str">
        <f t="shared" ca="1" si="12"/>
        <v/>
      </c>
      <c r="AC22" t="str">
        <f>IFERROR(INDEX('Bibliothèque MP INRA'!$R:$R,MATCH($A22,'Bibliothèque MP INRA'!$C:$C,0)),"")</f>
        <v/>
      </c>
      <c r="AD22" t="str">
        <f t="shared" si="13"/>
        <v/>
      </c>
      <c r="AE22" t="str">
        <f>IFERROR(INDEX('Bibliothèque MP INRA'!$Q:$Q,MATCH($A22,'Bibliothèque MP INRA'!$C:$C,0)),"")</f>
        <v/>
      </c>
      <c r="AF22" t="str">
        <f t="shared" si="14"/>
        <v/>
      </c>
      <c r="AG22" t="str">
        <f ca="1">IFERROR(XLOOKUP($A22,'Bibliothèque MP INRA'!$C:$C,'Bibliothèque MP INRA'!$B:$B),"")</f>
        <v/>
      </c>
      <c r="AH22" t="str">
        <f t="shared" ca="1" si="15"/>
        <v/>
      </c>
      <c r="AI22" t="str">
        <f>IFERROR(INDEX('Bibliothèque MP INRA'!$S:$S,MATCH($A22,'Bibliothèque MP INRA'!$C:$C,0)),"")</f>
        <v/>
      </c>
      <c r="AJ22" t="str">
        <f t="shared" si="16"/>
        <v/>
      </c>
    </row>
    <row r="23" spans="3:36" x14ac:dyDescent="0.35">
      <c r="C23" t="str">
        <f>IFERROR(INDEX('Bibliothèque MP INRA'!$D:$D,MATCH($A23,'Bibliothèque MP INRA'!$C:$C,0)),"")</f>
        <v/>
      </c>
      <c r="D23" t="str">
        <f t="shared" si="0"/>
        <v/>
      </c>
      <c r="E23" t="str">
        <f>IFERROR(INDEX('Bibliothèque MP INRA'!$E:$E,MATCH($A23,'Bibliothèque MP INRA'!$C:$C,0)),"")</f>
        <v/>
      </c>
      <c r="F23" t="str">
        <f t="shared" si="1"/>
        <v/>
      </c>
      <c r="G23" t="str">
        <f>IFERROR(INDEX('Bibliothèque MP INRA'!$I:$I,MATCH($A23,'Bibliothèque MP INRA'!$C:$C,0)),"")</f>
        <v/>
      </c>
      <c r="H23" t="str">
        <f t="shared" si="2"/>
        <v/>
      </c>
      <c r="I23" t="str">
        <f>IFERROR(INDEX('Bibliothèque MP INRA'!$G:$G,MATCH($A23,'Bibliothèque MP INRA'!$C:$C,0)),"")</f>
        <v/>
      </c>
      <c r="J23" t="str">
        <f t="shared" si="3"/>
        <v/>
      </c>
      <c r="K23" t="str">
        <f>IFERROR(INDEX('Bibliothèque MP INRA'!$H:$H,MATCH($A23,'Bibliothèque MP INRA'!$C:$C,0)),"")</f>
        <v/>
      </c>
      <c r="L23" t="str">
        <f t="shared" si="4"/>
        <v/>
      </c>
      <c r="M23" t="str">
        <f>IFERROR(INDEX('Bibliothèque MP INRA'!$J:$J,MATCH($A23,'Bibliothèque MP INRA'!$C:$C,0)),"")</f>
        <v/>
      </c>
      <c r="N23" t="str">
        <f t="shared" si="5"/>
        <v/>
      </c>
      <c r="O23" t="str">
        <f>IFERROR(INDEX('Bibliothèque MP INRA'!$K:$K,MATCH($A23,'Bibliothèque MP INRA'!$C:$C,0)),"")</f>
        <v/>
      </c>
      <c r="P23" t="str">
        <f t="shared" si="6"/>
        <v/>
      </c>
      <c r="Q23" t="str">
        <f>IFERROR(INDEX('Bibliothèque MP INRA'!$L:$L,MATCH($A23,'Bibliothèque MP INRA'!$C:$C,0)),"")</f>
        <v/>
      </c>
      <c r="R23" t="str">
        <f t="shared" si="7"/>
        <v/>
      </c>
      <c r="S23" t="str">
        <f>IFERROR(INDEX('Bibliothèque MP INRA'!$M:$M,MATCH($A23,'Bibliothèque MP INRA'!$C:$C,0)),"")</f>
        <v/>
      </c>
      <c r="T23" t="str">
        <f t="shared" si="8"/>
        <v/>
      </c>
      <c r="U23" t="str">
        <f>IFERROR(INDEX('Bibliothèque MP INRA'!$N:$N,MATCH($A23,'Bibliothèque MP INRA'!$C:$C,0)),"")</f>
        <v/>
      </c>
      <c r="V23" t="str">
        <f t="shared" si="9"/>
        <v/>
      </c>
      <c r="W23" t="str">
        <f>IFERROR(INDEX('Bibliothèque MP INRA'!$O:$O,MATCH($A23,'Bibliothèque MP INRA'!$C:$C,0)),"")</f>
        <v/>
      </c>
      <c r="X23" t="str">
        <f t="shared" si="10"/>
        <v/>
      </c>
      <c r="Y23" t="str">
        <f>IFERROR(INDEX('Bibliothèque MP INRA'!$P:$P,MATCH($A23,'Bibliothèque MP INRA'!$C:$C,0)),"")</f>
        <v/>
      </c>
      <c r="Z23" t="str">
        <f t="shared" si="11"/>
        <v/>
      </c>
      <c r="AA23" t="str">
        <f ca="1">IFERROR(XLOOKUP($A23,'Bibliothèque MP INRA'!$C:$C,'Bibliothèque MP INRA'!$N:$N),"")</f>
        <v/>
      </c>
      <c r="AB23" t="str">
        <f t="shared" ca="1" si="12"/>
        <v/>
      </c>
      <c r="AC23" t="str">
        <f>IFERROR(INDEX('Bibliothèque MP INRA'!$R:$R,MATCH($A23,'Bibliothèque MP INRA'!$C:$C,0)),"")</f>
        <v/>
      </c>
      <c r="AD23" t="str">
        <f t="shared" si="13"/>
        <v/>
      </c>
      <c r="AE23" t="str">
        <f>IFERROR(INDEX('Bibliothèque MP INRA'!$Q:$Q,MATCH($A23,'Bibliothèque MP INRA'!$C:$C,0)),"")</f>
        <v/>
      </c>
      <c r="AF23" t="str">
        <f t="shared" si="14"/>
        <v/>
      </c>
      <c r="AG23" t="str">
        <f ca="1">IFERROR(XLOOKUP($A23,'Bibliothèque MP INRA'!$C:$C,'Bibliothèque MP INRA'!$B:$B),"")</f>
        <v/>
      </c>
      <c r="AH23" t="str">
        <f t="shared" ca="1" si="15"/>
        <v/>
      </c>
      <c r="AI23" t="str">
        <f>IFERROR(INDEX('Bibliothèque MP INRA'!$S:$S,MATCH($A23,'Bibliothèque MP INRA'!$C:$C,0)),"")</f>
        <v/>
      </c>
      <c r="AJ23" t="str">
        <f t="shared" si="16"/>
        <v/>
      </c>
    </row>
    <row r="24" spans="3:36" x14ac:dyDescent="0.35">
      <c r="C24" t="str">
        <f>IFERROR(INDEX('Bibliothèque MP INRA'!$D:$D,MATCH($A24,'Bibliothèque MP INRA'!$C:$C,0)),"")</f>
        <v/>
      </c>
      <c r="D24" t="str">
        <f t="shared" si="0"/>
        <v/>
      </c>
      <c r="E24" t="str">
        <f>IFERROR(INDEX('Bibliothèque MP INRA'!$E:$E,MATCH($A24,'Bibliothèque MP INRA'!$C:$C,0)),"")</f>
        <v/>
      </c>
      <c r="F24" t="str">
        <f t="shared" si="1"/>
        <v/>
      </c>
      <c r="G24" t="str">
        <f>IFERROR(INDEX('Bibliothèque MP INRA'!$I:$I,MATCH($A24,'Bibliothèque MP INRA'!$C:$C,0)),"")</f>
        <v/>
      </c>
      <c r="H24" t="str">
        <f t="shared" si="2"/>
        <v/>
      </c>
      <c r="I24" t="str">
        <f>IFERROR(INDEX('Bibliothèque MP INRA'!$G:$G,MATCH($A24,'Bibliothèque MP INRA'!$C:$C,0)),"")</f>
        <v/>
      </c>
      <c r="J24" t="str">
        <f t="shared" si="3"/>
        <v/>
      </c>
      <c r="K24" t="str">
        <f>IFERROR(INDEX('Bibliothèque MP INRA'!$H:$H,MATCH($A24,'Bibliothèque MP INRA'!$C:$C,0)),"")</f>
        <v/>
      </c>
      <c r="L24" t="str">
        <f t="shared" si="4"/>
        <v/>
      </c>
      <c r="M24" t="str">
        <f>IFERROR(INDEX('Bibliothèque MP INRA'!$J:$J,MATCH($A24,'Bibliothèque MP INRA'!$C:$C,0)),"")</f>
        <v/>
      </c>
      <c r="N24" t="str">
        <f t="shared" si="5"/>
        <v/>
      </c>
      <c r="O24" t="str">
        <f>IFERROR(INDEX('Bibliothèque MP INRA'!$K:$K,MATCH($A24,'Bibliothèque MP INRA'!$C:$C,0)),"")</f>
        <v/>
      </c>
      <c r="P24" t="str">
        <f t="shared" si="6"/>
        <v/>
      </c>
      <c r="Q24" t="str">
        <f>IFERROR(INDEX('Bibliothèque MP INRA'!$L:$L,MATCH($A24,'Bibliothèque MP INRA'!$C:$C,0)),"")</f>
        <v/>
      </c>
      <c r="R24" t="str">
        <f t="shared" si="7"/>
        <v/>
      </c>
      <c r="S24" t="str">
        <f>IFERROR(INDEX('Bibliothèque MP INRA'!$M:$M,MATCH($A24,'Bibliothèque MP INRA'!$C:$C,0)),"")</f>
        <v/>
      </c>
      <c r="T24" t="str">
        <f t="shared" si="8"/>
        <v/>
      </c>
      <c r="U24" t="str">
        <f>IFERROR(INDEX('Bibliothèque MP INRA'!$N:$N,MATCH($A24,'Bibliothèque MP INRA'!$C:$C,0)),"")</f>
        <v/>
      </c>
      <c r="V24" t="str">
        <f t="shared" si="9"/>
        <v/>
      </c>
      <c r="W24" t="str">
        <f>IFERROR(INDEX('Bibliothèque MP INRA'!$O:$O,MATCH($A24,'Bibliothèque MP INRA'!$C:$C,0)),"")</f>
        <v/>
      </c>
      <c r="X24" t="str">
        <f t="shared" si="10"/>
        <v/>
      </c>
      <c r="Y24" t="str">
        <f>IFERROR(INDEX('Bibliothèque MP INRA'!$P:$P,MATCH($A24,'Bibliothèque MP INRA'!$C:$C,0)),"")</f>
        <v/>
      </c>
      <c r="Z24" t="str">
        <f t="shared" si="11"/>
        <v/>
      </c>
      <c r="AA24" t="str">
        <f ca="1">IFERROR(XLOOKUP($A24,'Bibliothèque MP INRA'!$C:$C,'Bibliothèque MP INRA'!$N:$N),"")</f>
        <v/>
      </c>
      <c r="AB24" t="str">
        <f t="shared" ca="1" si="12"/>
        <v/>
      </c>
      <c r="AC24" t="str">
        <f>IFERROR(INDEX('Bibliothèque MP INRA'!$R:$R,MATCH($A24,'Bibliothèque MP INRA'!$C:$C,0)),"")</f>
        <v/>
      </c>
      <c r="AD24" t="str">
        <f t="shared" si="13"/>
        <v/>
      </c>
      <c r="AE24" t="str">
        <f>IFERROR(INDEX('Bibliothèque MP INRA'!$Q:$Q,MATCH($A24,'Bibliothèque MP INRA'!$C:$C,0)),"")</f>
        <v/>
      </c>
      <c r="AF24" t="str">
        <f t="shared" si="14"/>
        <v/>
      </c>
      <c r="AG24" t="str">
        <f ca="1">IFERROR(XLOOKUP($A24,'Bibliothèque MP INRA'!$C:$C,'Bibliothèque MP INRA'!$B:$B),"")</f>
        <v/>
      </c>
      <c r="AH24" t="str">
        <f t="shared" ca="1" si="15"/>
        <v/>
      </c>
      <c r="AI24" t="str">
        <f>IFERROR(INDEX('Bibliothèque MP INRA'!$S:$S,MATCH($A24,'Bibliothèque MP INRA'!$C:$C,0)),"")</f>
        <v/>
      </c>
      <c r="AJ24" t="str">
        <f t="shared" si="16"/>
        <v/>
      </c>
    </row>
    <row r="25" spans="3:36" x14ac:dyDescent="0.35">
      <c r="C25" t="str">
        <f>IFERROR(INDEX('Bibliothèque MP INRA'!$D:$D,MATCH($A25,'Bibliothèque MP INRA'!$C:$C,0)),"")</f>
        <v/>
      </c>
      <c r="D25" t="str">
        <f t="shared" si="0"/>
        <v/>
      </c>
      <c r="E25" t="str">
        <f>IFERROR(INDEX('Bibliothèque MP INRA'!$E:$E,MATCH($A25,'Bibliothèque MP INRA'!$C:$C,0)),"")</f>
        <v/>
      </c>
      <c r="F25" t="str">
        <f t="shared" si="1"/>
        <v/>
      </c>
      <c r="G25" t="str">
        <f>IFERROR(INDEX('Bibliothèque MP INRA'!$I:$I,MATCH($A25,'Bibliothèque MP INRA'!$C:$C,0)),"")</f>
        <v/>
      </c>
      <c r="H25" t="str">
        <f t="shared" si="2"/>
        <v/>
      </c>
      <c r="I25" t="str">
        <f>IFERROR(INDEX('Bibliothèque MP INRA'!$G:$G,MATCH($A25,'Bibliothèque MP INRA'!$C:$C,0)),"")</f>
        <v/>
      </c>
      <c r="J25" t="str">
        <f t="shared" si="3"/>
        <v/>
      </c>
      <c r="K25" t="str">
        <f>IFERROR(INDEX('Bibliothèque MP INRA'!$H:$H,MATCH($A25,'Bibliothèque MP INRA'!$C:$C,0)),"")</f>
        <v/>
      </c>
      <c r="L25" t="str">
        <f t="shared" si="4"/>
        <v/>
      </c>
      <c r="M25" t="str">
        <f>IFERROR(INDEX('Bibliothèque MP INRA'!$J:$J,MATCH($A25,'Bibliothèque MP INRA'!$C:$C,0)),"")</f>
        <v/>
      </c>
      <c r="N25" t="str">
        <f t="shared" si="5"/>
        <v/>
      </c>
      <c r="O25" t="str">
        <f>IFERROR(INDEX('Bibliothèque MP INRA'!$K:$K,MATCH($A25,'Bibliothèque MP INRA'!$C:$C,0)),"")</f>
        <v/>
      </c>
      <c r="P25" t="str">
        <f t="shared" si="6"/>
        <v/>
      </c>
      <c r="Q25" t="str">
        <f>IFERROR(INDEX('Bibliothèque MP INRA'!$L:$L,MATCH($A25,'Bibliothèque MP INRA'!$C:$C,0)),"")</f>
        <v/>
      </c>
      <c r="R25" t="str">
        <f t="shared" si="7"/>
        <v/>
      </c>
      <c r="S25" t="str">
        <f>IFERROR(INDEX('Bibliothèque MP INRA'!$M:$M,MATCH($A25,'Bibliothèque MP INRA'!$C:$C,0)),"")</f>
        <v/>
      </c>
      <c r="T25" t="str">
        <f t="shared" si="8"/>
        <v/>
      </c>
      <c r="U25" t="str">
        <f>IFERROR(INDEX('Bibliothèque MP INRA'!$N:$N,MATCH($A25,'Bibliothèque MP INRA'!$C:$C,0)),"")</f>
        <v/>
      </c>
      <c r="V25" t="str">
        <f t="shared" si="9"/>
        <v/>
      </c>
      <c r="W25" t="str">
        <f>IFERROR(INDEX('Bibliothèque MP INRA'!$O:$O,MATCH($A25,'Bibliothèque MP INRA'!$C:$C,0)),"")</f>
        <v/>
      </c>
      <c r="X25" t="str">
        <f t="shared" si="10"/>
        <v/>
      </c>
      <c r="Y25" t="str">
        <f>IFERROR(INDEX('Bibliothèque MP INRA'!$P:$P,MATCH($A25,'Bibliothèque MP INRA'!$C:$C,0)),"")</f>
        <v/>
      </c>
      <c r="Z25" t="str">
        <f t="shared" si="11"/>
        <v/>
      </c>
      <c r="AA25" t="str">
        <f ca="1">IFERROR(XLOOKUP($A25,'Bibliothèque MP INRA'!$C:$C,'Bibliothèque MP INRA'!$N:$N),"")</f>
        <v/>
      </c>
      <c r="AB25" t="str">
        <f t="shared" ca="1" si="12"/>
        <v/>
      </c>
      <c r="AC25" t="str">
        <f>IFERROR(INDEX('Bibliothèque MP INRA'!$R:$R,MATCH($A25,'Bibliothèque MP INRA'!$C:$C,0)),"")</f>
        <v/>
      </c>
      <c r="AD25" t="str">
        <f t="shared" si="13"/>
        <v/>
      </c>
      <c r="AE25" t="str">
        <f>IFERROR(INDEX('Bibliothèque MP INRA'!$Q:$Q,MATCH($A25,'Bibliothèque MP INRA'!$C:$C,0)),"")</f>
        <v/>
      </c>
      <c r="AF25" t="str">
        <f t="shared" si="14"/>
        <v/>
      </c>
      <c r="AG25" t="str">
        <f ca="1">IFERROR(XLOOKUP($A25,'Bibliothèque MP INRA'!$C:$C,'Bibliothèque MP INRA'!$B:$B),"")</f>
        <v/>
      </c>
      <c r="AH25" t="str">
        <f t="shared" ca="1" si="15"/>
        <v/>
      </c>
      <c r="AI25" t="str">
        <f>IFERROR(INDEX('Bibliothèque MP INRA'!$S:$S,MATCH($A25,'Bibliothèque MP INRA'!$C:$C,0)),"")</f>
        <v/>
      </c>
      <c r="AJ25" t="str">
        <f t="shared" si="16"/>
        <v/>
      </c>
    </row>
    <row r="26" spans="3:36" x14ac:dyDescent="0.35">
      <c r="C26" t="str">
        <f>IFERROR(INDEX('Bibliothèque MP INRA'!$D:$D,MATCH($A26,'Bibliothèque MP INRA'!$C:$C,0)),"")</f>
        <v/>
      </c>
      <c r="D26" t="str">
        <f t="shared" si="0"/>
        <v/>
      </c>
      <c r="E26" t="str">
        <f>IFERROR(INDEX('Bibliothèque MP INRA'!$E:$E,MATCH($A26,'Bibliothèque MP INRA'!$C:$C,0)),"")</f>
        <v/>
      </c>
      <c r="F26" t="str">
        <f t="shared" si="1"/>
        <v/>
      </c>
      <c r="G26" t="str">
        <f>IFERROR(INDEX('Bibliothèque MP INRA'!$I:$I,MATCH($A26,'Bibliothèque MP INRA'!$C:$C,0)),"")</f>
        <v/>
      </c>
      <c r="H26" t="str">
        <f t="shared" si="2"/>
        <v/>
      </c>
      <c r="I26" t="str">
        <f>IFERROR(INDEX('Bibliothèque MP INRA'!$G:$G,MATCH($A26,'Bibliothèque MP INRA'!$C:$C,0)),"")</f>
        <v/>
      </c>
      <c r="J26" t="str">
        <f t="shared" si="3"/>
        <v/>
      </c>
      <c r="K26" t="str">
        <f>IFERROR(INDEX('Bibliothèque MP INRA'!$H:$H,MATCH($A26,'Bibliothèque MP INRA'!$C:$C,0)),"")</f>
        <v/>
      </c>
      <c r="L26" t="str">
        <f t="shared" si="4"/>
        <v/>
      </c>
      <c r="M26" t="str">
        <f>IFERROR(INDEX('Bibliothèque MP INRA'!$J:$J,MATCH($A26,'Bibliothèque MP INRA'!$C:$C,0)),"")</f>
        <v/>
      </c>
      <c r="N26" t="str">
        <f t="shared" si="5"/>
        <v/>
      </c>
      <c r="O26" t="str">
        <f>IFERROR(INDEX('Bibliothèque MP INRA'!$K:$K,MATCH($A26,'Bibliothèque MP INRA'!$C:$C,0)),"")</f>
        <v/>
      </c>
      <c r="P26" t="str">
        <f t="shared" si="6"/>
        <v/>
      </c>
      <c r="Q26" t="str">
        <f>IFERROR(INDEX('Bibliothèque MP INRA'!$L:$L,MATCH($A26,'Bibliothèque MP INRA'!$C:$C,0)),"")</f>
        <v/>
      </c>
      <c r="R26" t="str">
        <f t="shared" si="7"/>
        <v/>
      </c>
      <c r="S26" t="str">
        <f>IFERROR(INDEX('Bibliothèque MP INRA'!$M:$M,MATCH($A26,'Bibliothèque MP INRA'!$C:$C,0)),"")</f>
        <v/>
      </c>
      <c r="T26" t="str">
        <f t="shared" si="8"/>
        <v/>
      </c>
      <c r="U26" t="str">
        <f>IFERROR(INDEX('Bibliothèque MP INRA'!$N:$N,MATCH($A26,'Bibliothèque MP INRA'!$C:$C,0)),"")</f>
        <v/>
      </c>
      <c r="V26" t="str">
        <f t="shared" si="9"/>
        <v/>
      </c>
      <c r="W26" t="str">
        <f>IFERROR(INDEX('Bibliothèque MP INRA'!$O:$O,MATCH($A26,'Bibliothèque MP INRA'!$C:$C,0)),"")</f>
        <v/>
      </c>
      <c r="X26" t="str">
        <f t="shared" si="10"/>
        <v/>
      </c>
      <c r="Y26" t="str">
        <f>IFERROR(INDEX('Bibliothèque MP INRA'!$P:$P,MATCH($A26,'Bibliothèque MP INRA'!$C:$C,0)),"")</f>
        <v/>
      </c>
      <c r="Z26" t="str">
        <f t="shared" si="11"/>
        <v/>
      </c>
      <c r="AA26" t="str">
        <f ca="1">IFERROR(XLOOKUP($A26,'Bibliothèque MP INRA'!$C:$C,'Bibliothèque MP INRA'!$N:$N),"")</f>
        <v/>
      </c>
      <c r="AB26" t="str">
        <f t="shared" ca="1" si="12"/>
        <v/>
      </c>
      <c r="AC26" t="str">
        <f>IFERROR(INDEX('Bibliothèque MP INRA'!$R:$R,MATCH($A26,'Bibliothèque MP INRA'!$C:$C,0)),"")</f>
        <v/>
      </c>
      <c r="AD26" t="str">
        <f t="shared" si="13"/>
        <v/>
      </c>
      <c r="AE26" t="str">
        <f>IFERROR(INDEX('Bibliothèque MP INRA'!$Q:$Q,MATCH($A26,'Bibliothèque MP INRA'!$C:$C,0)),"")</f>
        <v/>
      </c>
      <c r="AF26" t="str">
        <f t="shared" si="14"/>
        <v/>
      </c>
      <c r="AG26" t="str">
        <f ca="1">IFERROR(XLOOKUP($A26,'Bibliothèque MP INRA'!$C:$C,'Bibliothèque MP INRA'!$B:$B),"")</f>
        <v/>
      </c>
      <c r="AH26" t="str">
        <f t="shared" ca="1" si="15"/>
        <v/>
      </c>
      <c r="AI26" t="str">
        <f>IFERROR(INDEX('Bibliothèque MP INRA'!$S:$S,MATCH($A26,'Bibliothèque MP INRA'!$C:$C,0)),"")</f>
        <v/>
      </c>
      <c r="AJ26" t="str">
        <f t="shared" si="16"/>
        <v/>
      </c>
    </row>
    <row r="27" spans="3:36" x14ac:dyDescent="0.35">
      <c r="C27" t="str">
        <f>IFERROR(INDEX('Bibliothèque MP INRA'!$D:$D,MATCH($A27,'Bibliothèque MP INRA'!$C:$C,0)),"")</f>
        <v/>
      </c>
      <c r="D27" t="str">
        <f t="shared" si="0"/>
        <v/>
      </c>
      <c r="E27" t="str">
        <f>IFERROR(INDEX('Bibliothèque MP INRA'!$E:$E,MATCH($A27,'Bibliothèque MP INRA'!$C:$C,0)),"")</f>
        <v/>
      </c>
      <c r="F27" t="str">
        <f t="shared" si="1"/>
        <v/>
      </c>
      <c r="G27" t="str">
        <f>IFERROR(INDEX('Bibliothèque MP INRA'!$I:$I,MATCH($A27,'Bibliothèque MP INRA'!$C:$C,0)),"")</f>
        <v/>
      </c>
      <c r="H27" t="str">
        <f t="shared" si="2"/>
        <v/>
      </c>
      <c r="I27" t="str">
        <f>IFERROR(INDEX('Bibliothèque MP INRA'!$G:$G,MATCH($A27,'Bibliothèque MP INRA'!$C:$C,0)),"")</f>
        <v/>
      </c>
      <c r="J27" t="str">
        <f t="shared" si="3"/>
        <v/>
      </c>
      <c r="K27" t="str">
        <f>IFERROR(INDEX('Bibliothèque MP INRA'!$H:$H,MATCH($A27,'Bibliothèque MP INRA'!$C:$C,0)),"")</f>
        <v/>
      </c>
      <c r="L27" t="str">
        <f t="shared" si="4"/>
        <v/>
      </c>
      <c r="M27" t="str">
        <f>IFERROR(INDEX('Bibliothèque MP INRA'!$J:$J,MATCH($A27,'Bibliothèque MP INRA'!$C:$C,0)),"")</f>
        <v/>
      </c>
      <c r="N27" t="str">
        <f t="shared" si="5"/>
        <v/>
      </c>
      <c r="O27" t="str">
        <f>IFERROR(INDEX('Bibliothèque MP INRA'!$K:$K,MATCH($A27,'Bibliothèque MP INRA'!$C:$C,0)),"")</f>
        <v/>
      </c>
      <c r="P27" t="str">
        <f t="shared" si="6"/>
        <v/>
      </c>
      <c r="Q27" t="str">
        <f>IFERROR(INDEX('Bibliothèque MP INRA'!$L:$L,MATCH($A27,'Bibliothèque MP INRA'!$C:$C,0)),"")</f>
        <v/>
      </c>
      <c r="R27" t="str">
        <f t="shared" si="7"/>
        <v/>
      </c>
      <c r="S27" t="str">
        <f>IFERROR(INDEX('Bibliothèque MP INRA'!$M:$M,MATCH($A27,'Bibliothèque MP INRA'!$C:$C,0)),"")</f>
        <v/>
      </c>
      <c r="T27" t="str">
        <f t="shared" si="8"/>
        <v/>
      </c>
      <c r="U27" t="str">
        <f>IFERROR(INDEX('Bibliothèque MP INRA'!$N:$N,MATCH($A27,'Bibliothèque MP INRA'!$C:$C,0)),"")</f>
        <v/>
      </c>
      <c r="V27" t="str">
        <f t="shared" si="9"/>
        <v/>
      </c>
      <c r="W27" t="str">
        <f>IFERROR(INDEX('Bibliothèque MP INRA'!$O:$O,MATCH($A27,'Bibliothèque MP INRA'!$C:$C,0)),"")</f>
        <v/>
      </c>
      <c r="X27" t="str">
        <f t="shared" si="10"/>
        <v/>
      </c>
      <c r="Y27" t="str">
        <f>IFERROR(INDEX('Bibliothèque MP INRA'!$P:$P,MATCH($A27,'Bibliothèque MP INRA'!$C:$C,0)),"")</f>
        <v/>
      </c>
      <c r="Z27" t="str">
        <f t="shared" si="11"/>
        <v/>
      </c>
      <c r="AA27" t="str">
        <f ca="1">IFERROR(XLOOKUP($A27,'Bibliothèque MP INRA'!$C:$C,'Bibliothèque MP INRA'!$N:$N),"")</f>
        <v/>
      </c>
      <c r="AB27" t="str">
        <f t="shared" ca="1" si="12"/>
        <v/>
      </c>
      <c r="AC27" t="str">
        <f>IFERROR(INDEX('Bibliothèque MP INRA'!$R:$R,MATCH($A27,'Bibliothèque MP INRA'!$C:$C,0)),"")</f>
        <v/>
      </c>
      <c r="AD27" t="str">
        <f t="shared" si="13"/>
        <v/>
      </c>
      <c r="AE27" t="str">
        <f>IFERROR(INDEX('Bibliothèque MP INRA'!$Q:$Q,MATCH($A27,'Bibliothèque MP INRA'!$C:$C,0)),"")</f>
        <v/>
      </c>
      <c r="AF27" t="str">
        <f t="shared" si="14"/>
        <v/>
      </c>
      <c r="AG27" t="str">
        <f ca="1">IFERROR(XLOOKUP($A27,'Bibliothèque MP INRA'!$C:$C,'Bibliothèque MP INRA'!$B:$B),"")</f>
        <v/>
      </c>
      <c r="AH27" t="str">
        <f t="shared" ca="1" si="15"/>
        <v/>
      </c>
      <c r="AI27" t="str">
        <f>IFERROR(INDEX('Bibliothèque MP INRA'!$S:$S,MATCH($A27,'Bibliothèque MP INRA'!$C:$C,0)),"")</f>
        <v/>
      </c>
      <c r="AJ27" t="str">
        <f t="shared" si="16"/>
        <v/>
      </c>
    </row>
    <row r="28" spans="3:36" x14ac:dyDescent="0.35">
      <c r="C28" t="str">
        <f>IFERROR(INDEX('Bibliothèque MP INRA'!$D:$D,MATCH($A28,'Bibliothèque MP INRA'!$C:$C,0)),"")</f>
        <v/>
      </c>
      <c r="D28" t="str">
        <f t="shared" si="0"/>
        <v/>
      </c>
      <c r="E28" t="str">
        <f>IFERROR(INDEX('Bibliothèque MP INRA'!$E:$E,MATCH($A28,'Bibliothèque MP INRA'!$C:$C,0)),"")</f>
        <v/>
      </c>
      <c r="F28" t="str">
        <f t="shared" si="1"/>
        <v/>
      </c>
      <c r="G28" t="str">
        <f>IFERROR(INDEX('Bibliothèque MP INRA'!$I:$I,MATCH($A28,'Bibliothèque MP INRA'!$C:$C,0)),"")</f>
        <v/>
      </c>
      <c r="H28" t="str">
        <f t="shared" si="2"/>
        <v/>
      </c>
      <c r="I28" t="str">
        <f>IFERROR(INDEX('Bibliothèque MP INRA'!$G:$G,MATCH($A28,'Bibliothèque MP INRA'!$C:$C,0)),"")</f>
        <v/>
      </c>
      <c r="J28" t="str">
        <f t="shared" si="3"/>
        <v/>
      </c>
      <c r="K28" t="str">
        <f>IFERROR(INDEX('Bibliothèque MP INRA'!$H:$H,MATCH($A28,'Bibliothèque MP INRA'!$C:$C,0)),"")</f>
        <v/>
      </c>
      <c r="L28" t="str">
        <f t="shared" si="4"/>
        <v/>
      </c>
      <c r="M28" t="str">
        <f>IFERROR(INDEX('Bibliothèque MP INRA'!$J:$J,MATCH($A28,'Bibliothèque MP INRA'!$C:$C,0)),"")</f>
        <v/>
      </c>
      <c r="N28" t="str">
        <f t="shared" si="5"/>
        <v/>
      </c>
      <c r="O28" t="str">
        <f>IFERROR(INDEX('Bibliothèque MP INRA'!$K:$K,MATCH($A28,'Bibliothèque MP INRA'!$C:$C,0)),"")</f>
        <v/>
      </c>
      <c r="P28" t="str">
        <f t="shared" si="6"/>
        <v/>
      </c>
      <c r="Q28" t="str">
        <f>IFERROR(INDEX('Bibliothèque MP INRA'!$L:$L,MATCH($A28,'Bibliothèque MP INRA'!$C:$C,0)),"")</f>
        <v/>
      </c>
      <c r="R28" t="str">
        <f t="shared" si="7"/>
        <v/>
      </c>
      <c r="S28" t="str">
        <f>IFERROR(INDEX('Bibliothèque MP INRA'!$M:$M,MATCH($A28,'Bibliothèque MP INRA'!$C:$C,0)),"")</f>
        <v/>
      </c>
      <c r="T28" t="str">
        <f t="shared" si="8"/>
        <v/>
      </c>
      <c r="U28" t="str">
        <f>IFERROR(INDEX('Bibliothèque MP INRA'!$N:$N,MATCH($A28,'Bibliothèque MP INRA'!$C:$C,0)),"")</f>
        <v/>
      </c>
      <c r="V28" t="str">
        <f t="shared" si="9"/>
        <v/>
      </c>
      <c r="W28" t="str">
        <f>IFERROR(INDEX('Bibliothèque MP INRA'!$O:$O,MATCH($A28,'Bibliothèque MP INRA'!$C:$C,0)),"")</f>
        <v/>
      </c>
      <c r="X28" t="str">
        <f t="shared" si="10"/>
        <v/>
      </c>
      <c r="Y28" t="str">
        <f>IFERROR(INDEX('Bibliothèque MP INRA'!$P:$P,MATCH($A28,'Bibliothèque MP INRA'!$C:$C,0)),"")</f>
        <v/>
      </c>
      <c r="Z28" t="str">
        <f t="shared" si="11"/>
        <v/>
      </c>
      <c r="AA28" t="str">
        <f ca="1">IFERROR(XLOOKUP($A28,'Bibliothèque MP INRA'!$C:$C,'Bibliothèque MP INRA'!$N:$N),"")</f>
        <v/>
      </c>
      <c r="AB28" t="str">
        <f t="shared" ca="1" si="12"/>
        <v/>
      </c>
      <c r="AC28" t="str">
        <f>IFERROR(INDEX('Bibliothèque MP INRA'!$R:$R,MATCH($A28,'Bibliothèque MP INRA'!$C:$C,0)),"")</f>
        <v/>
      </c>
      <c r="AD28" t="str">
        <f t="shared" si="13"/>
        <v/>
      </c>
      <c r="AE28" t="str">
        <f>IFERROR(INDEX('Bibliothèque MP INRA'!$Q:$Q,MATCH($A28,'Bibliothèque MP INRA'!$C:$C,0)),"")</f>
        <v/>
      </c>
      <c r="AF28" t="str">
        <f t="shared" si="14"/>
        <v/>
      </c>
      <c r="AG28" t="str">
        <f ca="1">IFERROR(XLOOKUP($A28,'Bibliothèque MP INRA'!$C:$C,'Bibliothèque MP INRA'!$B:$B),"")</f>
        <v/>
      </c>
      <c r="AH28" t="str">
        <f t="shared" ca="1" si="15"/>
        <v/>
      </c>
      <c r="AI28" t="str">
        <f>IFERROR(INDEX('Bibliothèque MP INRA'!$S:$S,MATCH($A28,'Bibliothèque MP INRA'!$C:$C,0)),"")</f>
        <v/>
      </c>
      <c r="AJ28" t="str">
        <f t="shared" si="16"/>
        <v/>
      </c>
    </row>
    <row r="29" spans="3:36" x14ac:dyDescent="0.35">
      <c r="C29" t="str">
        <f>IFERROR(INDEX('Bibliothèque MP INRA'!$D:$D,MATCH($A29,'Bibliothèque MP INRA'!$C:$C,0)),"")</f>
        <v/>
      </c>
      <c r="D29" t="str">
        <f t="shared" si="0"/>
        <v/>
      </c>
      <c r="E29" t="str">
        <f>IFERROR(INDEX('Bibliothèque MP INRA'!$E:$E,MATCH($A29,'Bibliothèque MP INRA'!$C:$C,0)),"")</f>
        <v/>
      </c>
      <c r="F29" t="str">
        <f t="shared" si="1"/>
        <v/>
      </c>
      <c r="G29" t="str">
        <f>IFERROR(INDEX('Bibliothèque MP INRA'!$I:$I,MATCH($A29,'Bibliothèque MP INRA'!$C:$C,0)),"")</f>
        <v/>
      </c>
      <c r="H29" t="str">
        <f t="shared" si="2"/>
        <v/>
      </c>
      <c r="I29" t="str">
        <f>IFERROR(INDEX('Bibliothèque MP INRA'!$G:$G,MATCH($A29,'Bibliothèque MP INRA'!$C:$C,0)),"")</f>
        <v/>
      </c>
      <c r="J29" t="str">
        <f t="shared" si="3"/>
        <v/>
      </c>
      <c r="K29" t="str">
        <f>IFERROR(INDEX('Bibliothèque MP INRA'!$H:$H,MATCH($A29,'Bibliothèque MP INRA'!$C:$C,0)),"")</f>
        <v/>
      </c>
      <c r="L29" t="str">
        <f t="shared" si="4"/>
        <v/>
      </c>
      <c r="M29" t="str">
        <f>IFERROR(INDEX('Bibliothèque MP INRA'!$J:$J,MATCH($A29,'Bibliothèque MP INRA'!$C:$C,0)),"")</f>
        <v/>
      </c>
      <c r="N29" t="str">
        <f t="shared" si="5"/>
        <v/>
      </c>
      <c r="O29" t="str">
        <f>IFERROR(INDEX('Bibliothèque MP INRA'!$K:$K,MATCH($A29,'Bibliothèque MP INRA'!$C:$C,0)),"")</f>
        <v/>
      </c>
      <c r="P29" t="str">
        <f t="shared" si="6"/>
        <v/>
      </c>
      <c r="Q29" t="str">
        <f>IFERROR(INDEX('Bibliothèque MP INRA'!$L:$L,MATCH($A29,'Bibliothèque MP INRA'!$C:$C,0)),"")</f>
        <v/>
      </c>
      <c r="R29" t="str">
        <f t="shared" si="7"/>
        <v/>
      </c>
      <c r="S29" t="str">
        <f>IFERROR(INDEX('Bibliothèque MP INRA'!$M:$M,MATCH($A29,'Bibliothèque MP INRA'!$C:$C,0)),"")</f>
        <v/>
      </c>
      <c r="T29" t="str">
        <f t="shared" si="8"/>
        <v/>
      </c>
      <c r="U29" t="str">
        <f>IFERROR(INDEX('Bibliothèque MP INRA'!$N:$N,MATCH($A29,'Bibliothèque MP INRA'!$C:$C,0)),"")</f>
        <v/>
      </c>
      <c r="V29" t="str">
        <f t="shared" si="9"/>
        <v/>
      </c>
      <c r="W29" t="str">
        <f>IFERROR(INDEX('Bibliothèque MP INRA'!$O:$O,MATCH($A29,'Bibliothèque MP INRA'!$C:$C,0)),"")</f>
        <v/>
      </c>
      <c r="X29" t="str">
        <f t="shared" si="10"/>
        <v/>
      </c>
      <c r="Y29" t="str">
        <f>IFERROR(INDEX('Bibliothèque MP INRA'!$P:$P,MATCH($A29,'Bibliothèque MP INRA'!$C:$C,0)),"")</f>
        <v/>
      </c>
      <c r="Z29" t="str">
        <f t="shared" si="11"/>
        <v/>
      </c>
      <c r="AA29" t="str">
        <f ca="1">IFERROR(XLOOKUP($A29,'Bibliothèque MP INRA'!$C:$C,'Bibliothèque MP INRA'!$N:$N),"")</f>
        <v/>
      </c>
      <c r="AB29" t="str">
        <f t="shared" ca="1" si="12"/>
        <v/>
      </c>
      <c r="AC29" t="str">
        <f>IFERROR(INDEX('Bibliothèque MP INRA'!$R:$R,MATCH($A29,'Bibliothèque MP INRA'!$C:$C,0)),"")</f>
        <v/>
      </c>
      <c r="AD29" t="str">
        <f t="shared" si="13"/>
        <v/>
      </c>
      <c r="AE29" t="str">
        <f>IFERROR(INDEX('Bibliothèque MP INRA'!$Q:$Q,MATCH($A29,'Bibliothèque MP INRA'!$C:$C,0)),"")</f>
        <v/>
      </c>
      <c r="AF29" t="str">
        <f t="shared" si="14"/>
        <v/>
      </c>
      <c r="AG29" t="str">
        <f ca="1">IFERROR(XLOOKUP($A29,'Bibliothèque MP INRA'!$C:$C,'Bibliothèque MP INRA'!$B:$B),"")</f>
        <v/>
      </c>
      <c r="AH29" t="str">
        <f t="shared" ca="1" si="15"/>
        <v/>
      </c>
      <c r="AI29" t="str">
        <f>IFERROR(INDEX('Bibliothèque MP INRA'!$S:$S,MATCH($A29,'Bibliothèque MP INRA'!$C:$C,0)),"")</f>
        <v/>
      </c>
      <c r="AJ29" t="str">
        <f t="shared" si="16"/>
        <v/>
      </c>
    </row>
    <row r="30" spans="3:36" x14ac:dyDescent="0.35">
      <c r="C30" t="str">
        <f>IFERROR(INDEX('Bibliothèque MP INRA'!$D:$D,MATCH($A30,'Bibliothèque MP INRA'!$C:$C,0)),"")</f>
        <v/>
      </c>
      <c r="D30" t="str">
        <f t="shared" si="0"/>
        <v/>
      </c>
      <c r="E30" t="str">
        <f>IFERROR(INDEX('Bibliothèque MP INRA'!$E:$E,MATCH($A30,'Bibliothèque MP INRA'!$C:$C,0)),"")</f>
        <v/>
      </c>
      <c r="F30" t="str">
        <f t="shared" si="1"/>
        <v/>
      </c>
      <c r="G30" t="str">
        <f>IFERROR(INDEX('Bibliothèque MP INRA'!$I:$I,MATCH($A30,'Bibliothèque MP INRA'!$C:$C,0)),"")</f>
        <v/>
      </c>
      <c r="H30" t="str">
        <f t="shared" si="2"/>
        <v/>
      </c>
      <c r="I30" t="str">
        <f>IFERROR(INDEX('Bibliothèque MP INRA'!$G:$G,MATCH($A30,'Bibliothèque MP INRA'!$C:$C,0)),"")</f>
        <v/>
      </c>
      <c r="J30" t="str">
        <f t="shared" si="3"/>
        <v/>
      </c>
      <c r="K30" t="str">
        <f>IFERROR(INDEX('Bibliothèque MP INRA'!$H:$H,MATCH($A30,'Bibliothèque MP INRA'!$C:$C,0)),"")</f>
        <v/>
      </c>
      <c r="L30" t="str">
        <f t="shared" si="4"/>
        <v/>
      </c>
      <c r="M30" t="str">
        <f>IFERROR(INDEX('Bibliothèque MP INRA'!$J:$J,MATCH($A30,'Bibliothèque MP INRA'!$C:$C,0)),"")</f>
        <v/>
      </c>
      <c r="N30" t="str">
        <f t="shared" si="5"/>
        <v/>
      </c>
      <c r="O30" t="str">
        <f>IFERROR(INDEX('Bibliothèque MP INRA'!$K:$K,MATCH($A30,'Bibliothèque MP INRA'!$C:$C,0)),"")</f>
        <v/>
      </c>
      <c r="P30" t="str">
        <f t="shared" si="6"/>
        <v/>
      </c>
      <c r="Q30" t="str">
        <f>IFERROR(INDEX('Bibliothèque MP INRA'!$L:$L,MATCH($A30,'Bibliothèque MP INRA'!$C:$C,0)),"")</f>
        <v/>
      </c>
      <c r="R30" t="str">
        <f t="shared" si="7"/>
        <v/>
      </c>
      <c r="S30" t="str">
        <f>IFERROR(INDEX('Bibliothèque MP INRA'!$M:$M,MATCH($A30,'Bibliothèque MP INRA'!$C:$C,0)),"")</f>
        <v/>
      </c>
      <c r="T30" t="str">
        <f t="shared" si="8"/>
        <v/>
      </c>
      <c r="U30" t="str">
        <f>IFERROR(INDEX('Bibliothèque MP INRA'!$N:$N,MATCH($A30,'Bibliothèque MP INRA'!$C:$C,0)),"")</f>
        <v/>
      </c>
      <c r="V30" t="str">
        <f t="shared" si="9"/>
        <v/>
      </c>
      <c r="W30" t="str">
        <f>IFERROR(INDEX('Bibliothèque MP INRA'!$O:$O,MATCH($A30,'Bibliothèque MP INRA'!$C:$C,0)),"")</f>
        <v/>
      </c>
      <c r="X30" t="str">
        <f t="shared" si="10"/>
        <v/>
      </c>
      <c r="Y30" t="str">
        <f>IFERROR(INDEX('Bibliothèque MP INRA'!$P:$P,MATCH($A30,'Bibliothèque MP INRA'!$C:$C,0)),"")</f>
        <v/>
      </c>
      <c r="Z30" t="str">
        <f t="shared" si="11"/>
        <v/>
      </c>
      <c r="AA30" t="str">
        <f ca="1">IFERROR(XLOOKUP($A30,'Bibliothèque MP INRA'!$C:$C,'Bibliothèque MP INRA'!$N:$N),"")</f>
        <v/>
      </c>
      <c r="AB30" t="str">
        <f t="shared" ca="1" si="12"/>
        <v/>
      </c>
      <c r="AC30" t="str">
        <f>IFERROR(INDEX('Bibliothèque MP INRA'!$R:$R,MATCH($A30,'Bibliothèque MP INRA'!$C:$C,0)),"")</f>
        <v/>
      </c>
      <c r="AD30" t="str">
        <f t="shared" si="13"/>
        <v/>
      </c>
      <c r="AE30" t="str">
        <f>IFERROR(INDEX('Bibliothèque MP INRA'!$Q:$Q,MATCH($A30,'Bibliothèque MP INRA'!$C:$C,0)),"")</f>
        <v/>
      </c>
      <c r="AF30" t="str">
        <f t="shared" si="14"/>
        <v/>
      </c>
      <c r="AG30" t="str">
        <f ca="1">IFERROR(XLOOKUP($A30,'Bibliothèque MP INRA'!$C:$C,'Bibliothèque MP INRA'!$B:$B),"")</f>
        <v/>
      </c>
      <c r="AH30" t="str">
        <f t="shared" ca="1" si="15"/>
        <v/>
      </c>
      <c r="AI30" t="str">
        <f>IFERROR(INDEX('Bibliothèque MP INRA'!$S:$S,MATCH($A30,'Bibliothèque MP INRA'!$C:$C,0)),"")</f>
        <v/>
      </c>
      <c r="AJ30" t="str">
        <f t="shared" si="16"/>
        <v/>
      </c>
    </row>
    <row r="31" spans="3:36" x14ac:dyDescent="0.35">
      <c r="C31" t="str">
        <f>IFERROR(INDEX('Bibliothèque MP INRA'!$D:$D,MATCH($A31,'Bibliothèque MP INRA'!$C:$C,0)),"")</f>
        <v/>
      </c>
      <c r="D31" t="str">
        <f t="shared" si="0"/>
        <v/>
      </c>
      <c r="E31" t="str">
        <f>IFERROR(INDEX('Bibliothèque MP INRA'!$E:$E,MATCH($A31,'Bibliothèque MP INRA'!$C:$C,0)),"")</f>
        <v/>
      </c>
      <c r="F31" t="str">
        <f t="shared" si="1"/>
        <v/>
      </c>
      <c r="G31" t="str">
        <f>IFERROR(INDEX('Bibliothèque MP INRA'!$I:$I,MATCH($A31,'Bibliothèque MP INRA'!$C:$C,0)),"")</f>
        <v/>
      </c>
      <c r="H31" t="str">
        <f t="shared" si="2"/>
        <v/>
      </c>
      <c r="I31" t="str">
        <f>IFERROR(INDEX('Bibliothèque MP INRA'!$G:$G,MATCH($A31,'Bibliothèque MP INRA'!$C:$C,0)),"")</f>
        <v/>
      </c>
      <c r="J31" t="str">
        <f t="shared" si="3"/>
        <v/>
      </c>
      <c r="K31" t="str">
        <f>IFERROR(INDEX('Bibliothèque MP INRA'!$H:$H,MATCH($A31,'Bibliothèque MP INRA'!$C:$C,0)),"")</f>
        <v/>
      </c>
      <c r="L31" t="str">
        <f t="shared" si="4"/>
        <v/>
      </c>
      <c r="M31" t="str">
        <f>IFERROR(INDEX('Bibliothèque MP INRA'!$J:$J,MATCH($A31,'Bibliothèque MP INRA'!$C:$C,0)),"")</f>
        <v/>
      </c>
      <c r="N31" t="str">
        <f t="shared" si="5"/>
        <v/>
      </c>
      <c r="O31" t="str">
        <f>IFERROR(INDEX('Bibliothèque MP INRA'!$K:$K,MATCH($A31,'Bibliothèque MP INRA'!$C:$C,0)),"")</f>
        <v/>
      </c>
      <c r="P31" t="str">
        <f t="shared" si="6"/>
        <v/>
      </c>
      <c r="Q31" t="str">
        <f>IFERROR(INDEX('Bibliothèque MP INRA'!$L:$L,MATCH($A31,'Bibliothèque MP INRA'!$C:$C,0)),"")</f>
        <v/>
      </c>
      <c r="R31" t="str">
        <f t="shared" si="7"/>
        <v/>
      </c>
      <c r="S31" t="str">
        <f>IFERROR(INDEX('Bibliothèque MP INRA'!$M:$M,MATCH($A31,'Bibliothèque MP INRA'!$C:$C,0)),"")</f>
        <v/>
      </c>
      <c r="T31" t="str">
        <f t="shared" si="8"/>
        <v/>
      </c>
      <c r="U31" t="str">
        <f>IFERROR(INDEX('Bibliothèque MP INRA'!$N:$N,MATCH($A31,'Bibliothèque MP INRA'!$C:$C,0)),"")</f>
        <v/>
      </c>
      <c r="V31" t="str">
        <f t="shared" si="9"/>
        <v/>
      </c>
      <c r="W31" t="str">
        <f>IFERROR(INDEX('Bibliothèque MP INRA'!$O:$O,MATCH($A31,'Bibliothèque MP INRA'!$C:$C,0)),"")</f>
        <v/>
      </c>
      <c r="X31" t="str">
        <f t="shared" si="10"/>
        <v/>
      </c>
      <c r="Y31" t="str">
        <f>IFERROR(INDEX('Bibliothèque MP INRA'!$P:$P,MATCH($A31,'Bibliothèque MP INRA'!$C:$C,0)),"")</f>
        <v/>
      </c>
      <c r="Z31" t="str">
        <f t="shared" si="11"/>
        <v/>
      </c>
      <c r="AA31" t="str">
        <f ca="1">IFERROR(XLOOKUP($A31,'Bibliothèque MP INRA'!$C:$C,'Bibliothèque MP INRA'!$N:$N),"")</f>
        <v/>
      </c>
      <c r="AB31" t="str">
        <f t="shared" ca="1" si="12"/>
        <v/>
      </c>
      <c r="AC31" t="str">
        <f>IFERROR(INDEX('Bibliothèque MP INRA'!$R:$R,MATCH($A31,'Bibliothèque MP INRA'!$C:$C,0)),"")</f>
        <v/>
      </c>
      <c r="AD31" t="str">
        <f t="shared" si="13"/>
        <v/>
      </c>
      <c r="AE31" t="str">
        <f>IFERROR(INDEX('Bibliothèque MP INRA'!$Q:$Q,MATCH($A31,'Bibliothèque MP INRA'!$C:$C,0)),"")</f>
        <v/>
      </c>
      <c r="AF31" t="str">
        <f t="shared" si="14"/>
        <v/>
      </c>
      <c r="AG31" t="str">
        <f ca="1">IFERROR(XLOOKUP($A31,'Bibliothèque MP INRA'!$C:$C,'Bibliothèque MP INRA'!$B:$B),"")</f>
        <v/>
      </c>
      <c r="AH31" t="str">
        <f t="shared" ca="1" si="15"/>
        <v/>
      </c>
      <c r="AI31" t="str">
        <f>IFERROR(INDEX('Bibliothèque MP INRA'!$S:$S,MATCH($A31,'Bibliothèque MP INRA'!$C:$C,0)),"")</f>
        <v/>
      </c>
      <c r="AJ31" t="str">
        <f t="shared" si="16"/>
        <v/>
      </c>
    </row>
    <row r="32" spans="3:36" x14ac:dyDescent="0.35">
      <c r="C32" t="str">
        <f>IFERROR(INDEX('Bibliothèque MP INRA'!$D:$D,MATCH($A32,'Bibliothèque MP INRA'!$C:$C,0)),"")</f>
        <v/>
      </c>
      <c r="D32" t="str">
        <f t="shared" si="0"/>
        <v/>
      </c>
      <c r="E32" t="str">
        <f>IFERROR(INDEX('Bibliothèque MP INRA'!$E:$E,MATCH($A32,'Bibliothèque MP INRA'!$C:$C,0)),"")</f>
        <v/>
      </c>
      <c r="F32" t="str">
        <f t="shared" si="1"/>
        <v/>
      </c>
      <c r="G32" t="str">
        <f>IFERROR(INDEX('Bibliothèque MP INRA'!$I:$I,MATCH($A32,'Bibliothèque MP INRA'!$C:$C,0)),"")</f>
        <v/>
      </c>
      <c r="H32" t="str">
        <f t="shared" si="2"/>
        <v/>
      </c>
      <c r="I32" t="str">
        <f>IFERROR(INDEX('Bibliothèque MP INRA'!$G:$G,MATCH($A32,'Bibliothèque MP INRA'!$C:$C,0)),"")</f>
        <v/>
      </c>
      <c r="J32" t="str">
        <f t="shared" si="3"/>
        <v/>
      </c>
      <c r="K32" t="str">
        <f>IFERROR(INDEX('Bibliothèque MP INRA'!$H:$H,MATCH($A32,'Bibliothèque MP INRA'!$C:$C,0)),"")</f>
        <v/>
      </c>
      <c r="L32" t="str">
        <f t="shared" si="4"/>
        <v/>
      </c>
      <c r="M32" t="str">
        <f>IFERROR(INDEX('Bibliothèque MP INRA'!$J:$J,MATCH($A32,'Bibliothèque MP INRA'!$C:$C,0)),"")</f>
        <v/>
      </c>
      <c r="N32" t="str">
        <f t="shared" si="5"/>
        <v/>
      </c>
      <c r="O32" t="str">
        <f>IFERROR(INDEX('Bibliothèque MP INRA'!$K:$K,MATCH($A32,'Bibliothèque MP INRA'!$C:$C,0)),"")</f>
        <v/>
      </c>
      <c r="P32" t="str">
        <f t="shared" si="6"/>
        <v/>
      </c>
      <c r="Q32" t="str">
        <f>IFERROR(INDEX('Bibliothèque MP INRA'!$L:$L,MATCH($A32,'Bibliothèque MP INRA'!$C:$C,0)),"")</f>
        <v/>
      </c>
      <c r="R32" t="str">
        <f t="shared" si="7"/>
        <v/>
      </c>
      <c r="S32" t="str">
        <f>IFERROR(INDEX('Bibliothèque MP INRA'!$M:$M,MATCH($A32,'Bibliothèque MP INRA'!$C:$C,0)),"")</f>
        <v/>
      </c>
      <c r="T32" t="str">
        <f t="shared" si="8"/>
        <v/>
      </c>
      <c r="U32" t="str">
        <f>IFERROR(INDEX('Bibliothèque MP INRA'!$N:$N,MATCH($A32,'Bibliothèque MP INRA'!$C:$C,0)),"")</f>
        <v/>
      </c>
      <c r="V32" t="str">
        <f t="shared" si="9"/>
        <v/>
      </c>
      <c r="W32" t="str">
        <f>IFERROR(INDEX('Bibliothèque MP INRA'!$O:$O,MATCH($A32,'Bibliothèque MP INRA'!$C:$C,0)),"")</f>
        <v/>
      </c>
      <c r="X32" t="str">
        <f t="shared" si="10"/>
        <v/>
      </c>
      <c r="Y32" t="str">
        <f>IFERROR(INDEX('Bibliothèque MP INRA'!$P:$P,MATCH($A32,'Bibliothèque MP INRA'!$C:$C,0)),"")</f>
        <v/>
      </c>
      <c r="Z32" t="str">
        <f t="shared" si="11"/>
        <v/>
      </c>
      <c r="AA32" t="str">
        <f ca="1">IFERROR(XLOOKUP($A32,'Bibliothèque MP INRA'!$C:$C,'Bibliothèque MP INRA'!$N:$N),"")</f>
        <v/>
      </c>
      <c r="AB32" t="str">
        <f t="shared" ca="1" si="12"/>
        <v/>
      </c>
      <c r="AC32" t="str">
        <f>IFERROR(INDEX('Bibliothèque MP INRA'!$R:$R,MATCH($A32,'Bibliothèque MP INRA'!$C:$C,0)),"")</f>
        <v/>
      </c>
      <c r="AD32" t="str">
        <f t="shared" si="13"/>
        <v/>
      </c>
      <c r="AE32" t="str">
        <f>IFERROR(INDEX('Bibliothèque MP INRA'!$Q:$Q,MATCH($A32,'Bibliothèque MP INRA'!$C:$C,0)),"")</f>
        <v/>
      </c>
      <c r="AF32" t="str">
        <f t="shared" si="14"/>
        <v/>
      </c>
      <c r="AG32" t="str">
        <f ca="1">IFERROR(XLOOKUP($A32,'Bibliothèque MP INRA'!$C:$C,'Bibliothèque MP INRA'!$B:$B),"")</f>
        <v/>
      </c>
      <c r="AH32" t="str">
        <f t="shared" ca="1" si="15"/>
        <v/>
      </c>
      <c r="AI32" t="str">
        <f>IFERROR(INDEX('Bibliothèque MP INRA'!$S:$S,MATCH($A32,'Bibliothèque MP INRA'!$C:$C,0)),"")</f>
        <v/>
      </c>
      <c r="AJ32" t="str">
        <f t="shared" si="16"/>
        <v/>
      </c>
    </row>
    <row r="33" spans="1:36" x14ac:dyDescent="0.35">
      <c r="C33" t="str">
        <f>IFERROR(INDEX('Bibliothèque MP INRA'!$D:$D,MATCH($A33,'Bibliothèque MP INRA'!$C:$C,0)),"")</f>
        <v/>
      </c>
      <c r="D33" t="str">
        <f t="shared" si="0"/>
        <v/>
      </c>
      <c r="E33" t="str">
        <f>IFERROR(INDEX('Bibliothèque MP INRA'!$E:$E,MATCH($A33,'Bibliothèque MP INRA'!$C:$C,0)),"")</f>
        <v/>
      </c>
      <c r="F33" t="str">
        <f t="shared" si="1"/>
        <v/>
      </c>
      <c r="G33" t="str">
        <f>IFERROR(INDEX('Bibliothèque MP INRA'!$I:$I,MATCH($A33,'Bibliothèque MP INRA'!$C:$C,0)),"")</f>
        <v/>
      </c>
      <c r="H33" t="str">
        <f t="shared" si="2"/>
        <v/>
      </c>
      <c r="I33" t="str">
        <f>IFERROR(INDEX('Bibliothèque MP INRA'!$G:$G,MATCH($A33,'Bibliothèque MP INRA'!$C:$C,0)),"")</f>
        <v/>
      </c>
      <c r="J33" t="str">
        <f t="shared" si="3"/>
        <v/>
      </c>
      <c r="K33" t="str">
        <f>IFERROR(INDEX('Bibliothèque MP INRA'!$H:$H,MATCH($A33,'Bibliothèque MP INRA'!$C:$C,0)),"")</f>
        <v/>
      </c>
      <c r="L33" t="str">
        <f t="shared" si="4"/>
        <v/>
      </c>
      <c r="M33" t="str">
        <f>IFERROR(INDEX('Bibliothèque MP INRA'!$J:$J,MATCH($A33,'Bibliothèque MP INRA'!$C:$C,0)),"")</f>
        <v/>
      </c>
      <c r="N33" t="str">
        <f t="shared" si="5"/>
        <v/>
      </c>
      <c r="O33" t="str">
        <f>IFERROR(INDEX('Bibliothèque MP INRA'!$K:$K,MATCH($A33,'Bibliothèque MP INRA'!$C:$C,0)),"")</f>
        <v/>
      </c>
      <c r="P33" t="str">
        <f t="shared" si="6"/>
        <v/>
      </c>
      <c r="Q33" t="str">
        <f>IFERROR(INDEX('Bibliothèque MP INRA'!$L:$L,MATCH($A33,'Bibliothèque MP INRA'!$C:$C,0)),"")</f>
        <v/>
      </c>
      <c r="R33" t="str">
        <f t="shared" si="7"/>
        <v/>
      </c>
      <c r="S33" t="str">
        <f>IFERROR(INDEX('Bibliothèque MP INRA'!$M:$M,MATCH($A33,'Bibliothèque MP INRA'!$C:$C,0)),"")</f>
        <v/>
      </c>
      <c r="T33" t="str">
        <f t="shared" si="8"/>
        <v/>
      </c>
      <c r="U33" t="str">
        <f>IFERROR(INDEX('Bibliothèque MP INRA'!$N:$N,MATCH($A33,'Bibliothèque MP INRA'!$C:$C,0)),"")</f>
        <v/>
      </c>
      <c r="V33" t="str">
        <f t="shared" si="9"/>
        <v/>
      </c>
      <c r="W33" t="str">
        <f>IFERROR(INDEX('Bibliothèque MP INRA'!$O:$O,MATCH($A33,'Bibliothèque MP INRA'!$C:$C,0)),"")</f>
        <v/>
      </c>
      <c r="X33" t="str">
        <f t="shared" si="10"/>
        <v/>
      </c>
      <c r="Y33" t="str">
        <f>IFERROR(INDEX('Bibliothèque MP INRA'!$P:$P,MATCH($A33,'Bibliothèque MP INRA'!$C:$C,0)),"")</f>
        <v/>
      </c>
      <c r="Z33" t="str">
        <f t="shared" si="11"/>
        <v/>
      </c>
      <c r="AA33" t="str">
        <f ca="1">IFERROR(XLOOKUP($A33,'Bibliothèque MP INRA'!$C:$C,'Bibliothèque MP INRA'!$N:$N),"")</f>
        <v/>
      </c>
      <c r="AB33" t="str">
        <f t="shared" ca="1" si="12"/>
        <v/>
      </c>
      <c r="AC33" t="str">
        <f>IFERROR(INDEX('Bibliothèque MP INRA'!$R:$R,MATCH($A33,'Bibliothèque MP INRA'!$C:$C,0)),"")</f>
        <v/>
      </c>
      <c r="AD33" t="str">
        <f t="shared" si="13"/>
        <v/>
      </c>
      <c r="AE33" t="str">
        <f>IFERROR(INDEX('Bibliothèque MP INRA'!$Q:$Q,MATCH($A33,'Bibliothèque MP INRA'!$C:$C,0)),"")</f>
        <v/>
      </c>
      <c r="AF33" t="str">
        <f t="shared" si="14"/>
        <v/>
      </c>
      <c r="AG33" t="str">
        <f ca="1">IFERROR(XLOOKUP($A33,'Bibliothèque MP INRA'!$C:$C,'Bibliothèque MP INRA'!$B:$B),"")</f>
        <v/>
      </c>
      <c r="AH33" t="str">
        <f t="shared" ca="1" si="15"/>
        <v/>
      </c>
      <c r="AI33" t="str">
        <f>IFERROR(INDEX('Bibliothèque MP INRA'!$S:$S,MATCH($A33,'Bibliothèque MP INRA'!$C:$C,0)),"")</f>
        <v/>
      </c>
      <c r="AJ33" t="str">
        <f t="shared" si="16"/>
        <v/>
      </c>
    </row>
    <row r="35" spans="1:36" x14ac:dyDescent="0.35">
      <c r="A35" s="5" t="s">
        <v>189</v>
      </c>
      <c r="C35" t="str">
        <f>IFERROR(AVERAGE(C4:C33),"")</f>
        <v/>
      </c>
      <c r="D35">
        <f>SUM(D4:D33)</f>
        <v>0</v>
      </c>
      <c r="E35" t="str">
        <f>IFERROR(AVERAGE(E4:E33),"")</f>
        <v/>
      </c>
      <c r="F35">
        <f>SUM(F4:F33)</f>
        <v>0</v>
      </c>
      <c r="G35" t="str">
        <f>IFERROR(AVERAGE(G4:G33),"")</f>
        <v/>
      </c>
      <c r="H35">
        <f>SUM(H4:H33)</f>
        <v>0</v>
      </c>
      <c r="I35" t="str">
        <f>IFERROR(AVERAGE(I4:I33),"")</f>
        <v/>
      </c>
      <c r="J35">
        <f>SUM(J4:J33)</f>
        <v>0</v>
      </c>
      <c r="K35" t="str">
        <f>IFERROR(AVERAGE(K4:K33),"")</f>
        <v/>
      </c>
      <c r="L35">
        <f>SUM(L4:L33)</f>
        <v>0</v>
      </c>
      <c r="M35" t="str">
        <f>IFERROR(AVERAGE(M4:M33),"")</f>
        <v/>
      </c>
      <c r="N35">
        <f>SUM(N4:N33)</f>
        <v>0</v>
      </c>
      <c r="O35" t="str">
        <f>IFERROR(AVERAGE(O4:O33),"")</f>
        <v/>
      </c>
      <c r="P35">
        <f>SUM(P4:P33)</f>
        <v>0</v>
      </c>
      <c r="Q35" t="str">
        <f>IFERROR(AVERAGE(Q4:Q33),"")</f>
        <v/>
      </c>
      <c r="R35">
        <f>SUM(R4:R33)</f>
        <v>0</v>
      </c>
      <c r="S35" t="str">
        <f>IFERROR(AVERAGE(S4:S33),"")</f>
        <v/>
      </c>
      <c r="T35">
        <f>SUM(T4:T33)</f>
        <v>0</v>
      </c>
      <c r="U35" t="str">
        <f>IFERROR(AVERAGE(U4:U33),"")</f>
        <v/>
      </c>
      <c r="V35">
        <f>SUM(V4:V33)</f>
        <v>0</v>
      </c>
      <c r="W35" t="str">
        <f>IFERROR(AVERAGE(W4:W33),"")</f>
        <v/>
      </c>
      <c r="X35">
        <f>SUM(X4:X33)</f>
        <v>0</v>
      </c>
      <c r="Y35" t="str">
        <f>IFERROR(AVERAGE(Y4:Y33),"")</f>
        <v/>
      </c>
      <c r="Z35">
        <f>SUM(Z4:Z33)</f>
        <v>0</v>
      </c>
      <c r="AA35" t="str">
        <f ca="1">IFERROR(AVERAGE(AA4:AA33),"")</f>
        <v/>
      </c>
      <c r="AB35">
        <f ca="1">SUM(AB4:AB33)</f>
        <v>0</v>
      </c>
      <c r="AC35" t="str">
        <f>IFERROR(AVERAGE(AC4:AC33),"")</f>
        <v/>
      </c>
      <c r="AD35">
        <f>SUM(AD4:AD33)</f>
        <v>0</v>
      </c>
      <c r="AE35" t="str">
        <f>IFERROR(AVERAGE(AE4:AE33),"")</f>
        <v/>
      </c>
      <c r="AF35">
        <f>SUM(AF4:AF33)</f>
        <v>0</v>
      </c>
      <c r="AG35" t="str">
        <f ca="1">IFERROR(AVERAGE(AG4:AG33),"")</f>
        <v/>
      </c>
      <c r="AH35">
        <f ca="1">SUM(AH4:AH33)</f>
        <v>0</v>
      </c>
      <c r="AJ35">
        <f>SUM(AJ4:AJ33)</f>
        <v>0</v>
      </c>
    </row>
  </sheetData>
  <dataValidations count="1">
    <dataValidation type="list" allowBlank="1" sqref="A2:A80" xr:uid="{00000000-0002-0000-0900-000001000000}">
      <formula1>ListeMP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900-000000000000}">
          <x14:formula1>
            <xm:f>'Bibliothèque MP INRA'!$C$2:$C$74</xm:f>
          </x14:formula1>
          <xm:sqref>A4:A33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6F4315-7331-4BA8-A5E1-C4AE04AD0D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Besoins INRAE</vt:lpstr>
      <vt:lpstr>Bibliothèque MP INRA</vt:lpstr>
      <vt:lpstr>Ration Formulation</vt:lpstr>
      <vt:lpstr>Diagnostic</vt:lpstr>
      <vt:lpstr>Ration Formulation 2</vt:lpstr>
      <vt:lpstr>Comparaison Rations</vt:lpstr>
      <vt:lpstr>Formulation Aliment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Elodie Balthazar</cp:lastModifiedBy>
  <dcterms:created xsi:type="dcterms:W3CDTF">2026-05-22T08:41:12Z</dcterms:created>
  <dcterms:modified xsi:type="dcterms:W3CDTF">2026-06-05T13:30:37Z</dcterms:modified>
</cp:coreProperties>
</file>